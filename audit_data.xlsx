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Tables/pivotTable3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600" firstSheet="0" activeTab="2" autoFilterDateGrouping="1"/>
  </bookViews>
  <sheets>
    <sheet xmlns:r="http://schemas.openxmlformats.org/officeDocument/2006/relationships" name="Product Audit Final " sheetId="1" state="visible" r:id="rId1"/>
    <sheet xmlns:r="http://schemas.openxmlformats.org/officeDocument/2006/relationships" name="Pivot table" sheetId="2" state="visible" r:id="rId2"/>
    <sheet xmlns:r="http://schemas.openxmlformats.org/officeDocument/2006/relationships" name="Sheet1" sheetId="3" state="visible" r:id="rId3"/>
    <sheet xmlns:r="http://schemas.openxmlformats.org/officeDocument/2006/relationships" name="Audit Entries" sheetId="4" state="visible" r:id="rId4"/>
  </sheets>
  <definedNames>
    <definedName name="_xlchart.v1.0" hidden="1">'Product Audit Final '!$AL$3:$AL$27</definedName>
    <definedName name="_xlchart.v1.1" hidden="1">'Product Audit Final '!$AM$3:$AM$27</definedName>
    <definedName name="_xlnm._FilterDatabase" localSheetId="0" hidden="1">'Product Audit Final '!$G$35:$AN$280</definedName>
    <definedName name="_xlnm._FilterDatabase" localSheetId="3" hidden="1">'Audit Entries'!$A$1:$EG$1</definedName>
  </definedNames>
  <calcPr calcId="191029" fullCalcOnLoad="1"/>
  <pivotCaches>
    <pivotCache xmlns:r="http://schemas.openxmlformats.org/officeDocument/2006/relationships" cacheId="1" r:id="rId5"/>
    <pivotCache xmlns:r="http://schemas.openxmlformats.org/officeDocument/2006/relationships" cacheId="2" r:id="rId6"/>
    <pivotCache xmlns:r="http://schemas.openxmlformats.org/officeDocument/2006/relationships" cacheId="0" r:id="rId7"/>
  </pivotCaches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0_ "/>
    <numFmt numFmtId="166" formatCode="0.00_ "/>
    <numFmt numFmtId="167" formatCode="[$-409]d\-mmm\-yyyy;@"/>
  </numFmts>
  <fonts count="22">
    <font>
      <name val="ＭＳ Ｐゴシック"/>
      <charset val="128"/>
      <family val="3"/>
      <sz val="11"/>
    </font>
    <font>
      <name val="Calibri"/>
      <family val="2"/>
      <color theme="1"/>
      <sz val="11"/>
      <scheme val="minor"/>
    </font>
    <font>
      <name val="ＭＳ Ｐゴシック"/>
      <charset val="128"/>
      <family val="3"/>
      <sz val="11"/>
    </font>
    <font>
      <name val="Calibri"/>
      <charset val="128"/>
      <family val="2"/>
      <sz val="6"/>
      <scheme val="minor"/>
    </font>
    <font>
      <name val="ＭＳ Ｐゴシック"/>
      <charset val="128"/>
      <family val="3"/>
      <sz val="10"/>
    </font>
    <font>
      <name val="ＭＳ Ｐゴシック"/>
      <charset val="128"/>
      <family val="3"/>
      <sz val="6"/>
    </font>
    <font>
      <name val="CorpoS"/>
      <b val="1"/>
      <sz val="11"/>
    </font>
    <font>
      <name val="CorpoS"/>
      <b val="1"/>
      <sz val="10"/>
    </font>
    <font>
      <name val="CorpoS"/>
      <sz val="9"/>
    </font>
    <font>
      <name val="CorpoS"/>
      <sz val="14"/>
    </font>
    <font>
      <name val="CorpoS"/>
      <b val="1"/>
      <sz val="14"/>
    </font>
    <font>
      <name val="CorpoS"/>
      <b val="1"/>
      <sz val="9"/>
    </font>
    <font>
      <name val="ＭＳ Ｐゴシック"/>
      <charset val="128"/>
      <family val="3"/>
      <sz val="9"/>
    </font>
    <font>
      <name val="CorpoS"/>
      <color rgb="FF222222"/>
      <sz val="9"/>
    </font>
    <font>
      <name val="ＭＳ Ｐゴシック"/>
      <sz val="12"/>
    </font>
    <font>
      <name val="ＭＳ Ｐゴシック"/>
      <b val="1"/>
      <sz val="12"/>
    </font>
    <font>
      <name val="CorpoS"/>
      <color rgb="FF0070C0"/>
      <sz val="14"/>
    </font>
    <font>
      <name val="CorpoS"/>
      <b val="1"/>
      <color theme="0"/>
      <sz val="9"/>
    </font>
    <font>
      <name val="CorpoS"/>
      <b val="1"/>
      <color theme="0"/>
      <sz val="10"/>
    </font>
    <font>
      <name val="ＭＳ Ｐ明朝"/>
      <charset val="128"/>
      <family val="1"/>
      <b val="1"/>
      <sz val="11"/>
    </font>
    <font>
      <name val="ＭＳ Ｐゴシック"/>
      <charset val="128"/>
      <family val="3"/>
      <sz val="8"/>
    </font>
    <font>
      <name val="ＭＳ Ｐゴシック"/>
      <b val="1"/>
      <sz val="20"/>
    </font>
  </fonts>
  <fills count="11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2" fillId="0" borderId="0"/>
    <xf numFmtId="0" fontId="2" fillId="0" borderId="0" applyAlignment="1">
      <alignment vertical="center"/>
    </xf>
    <xf numFmtId="0" fontId="2" fillId="0" borderId="0"/>
  </cellStyleXfs>
  <cellXfs count="220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8" fillId="0" borderId="4" applyAlignment="1" applyProtection="1" pivotButton="0" quotePrefix="0" xfId="1">
      <alignment horizontal="center" vertical="center"/>
      <protection locked="0" hidden="0"/>
    </xf>
    <xf numFmtId="0" fontId="8" fillId="4" borderId="12" applyAlignment="1" applyProtection="1" pivotButton="0" quotePrefix="0" xfId="1">
      <alignment horizontal="center" vertical="center" wrapText="1"/>
      <protection locked="0" hidden="0"/>
    </xf>
    <xf numFmtId="0" fontId="12" fillId="4" borderId="6" applyProtection="1" pivotButton="0" quotePrefix="0" xfId="0">
      <protection locked="0" hidden="0"/>
    </xf>
    <xf numFmtId="0" fontId="8" fillId="4" borderId="6" applyAlignment="1" applyProtection="1" pivotButton="0" quotePrefix="0" xfId="1">
      <alignment horizontal="center" vertical="top" wrapText="1"/>
      <protection locked="0" hidden="0"/>
    </xf>
    <xf numFmtId="0" fontId="11" fillId="0" borderId="9" applyAlignment="1" applyProtection="1" pivotButton="0" quotePrefix="0" xfId="0">
      <alignment horizontal="center" vertical="center"/>
      <protection locked="0" hidden="0"/>
    </xf>
    <xf numFmtId="0" fontId="11" fillId="0" borderId="13" applyAlignment="1" applyProtection="1" pivotButton="0" quotePrefix="0" xfId="0">
      <alignment horizontal="center" vertical="center"/>
      <protection locked="0" hidden="0"/>
    </xf>
    <xf numFmtId="0" fontId="11" fillId="0" borderId="15" applyAlignment="1" applyProtection="1" pivotButton="0" quotePrefix="0" xfId="0">
      <alignment horizontal="center" vertical="center"/>
      <protection locked="0" hidden="0"/>
    </xf>
    <xf numFmtId="0" fontId="11" fillId="0" borderId="6" applyAlignment="1" applyProtection="1" pivotButton="0" quotePrefix="0" xfId="1">
      <alignment horizontal="center" vertical="center" wrapText="1"/>
      <protection locked="0" hidden="0"/>
    </xf>
    <xf numFmtId="0" fontId="8" fillId="0" borderId="11" applyAlignment="1" applyProtection="1" pivotButton="0" quotePrefix="0" xfId="1">
      <alignment horizontal="center" vertical="center" wrapText="1"/>
      <protection locked="0" hidden="0"/>
    </xf>
    <xf numFmtId="164" fontId="8" fillId="0" borderId="11" applyAlignment="1" applyProtection="1" pivotButton="0" quotePrefix="0" xfId="1">
      <alignment horizontal="center" vertical="center" wrapText="1"/>
      <protection locked="0" hidden="0"/>
    </xf>
    <xf numFmtId="0" fontId="8" fillId="0" borderId="6" applyAlignment="1" applyProtection="1" pivotButton="0" quotePrefix="0" xfId="1">
      <alignment horizontal="center" vertical="center"/>
      <protection locked="0" hidden="0"/>
    </xf>
    <xf numFmtId="0" fontId="8" fillId="0" borderId="0" applyAlignment="1" applyProtection="1" pivotButton="0" quotePrefix="0" xfId="1">
      <alignment vertical="top"/>
      <protection locked="0" hidden="0"/>
    </xf>
    <xf numFmtId="0" fontId="12" fillId="4" borderId="8" applyProtection="1" pivotButton="0" quotePrefix="0" xfId="0">
      <protection locked="0" hidden="0"/>
    </xf>
    <xf numFmtId="164" fontId="8" fillId="0" borderId="12" applyAlignment="1" applyProtection="1" pivotButton="0" quotePrefix="0" xfId="1">
      <alignment horizontal="center" vertical="center" wrapText="1"/>
      <protection locked="0" hidden="0"/>
    </xf>
    <xf numFmtId="0" fontId="8" fillId="4" borderId="11" applyAlignment="1" applyProtection="1" pivotButton="0" quotePrefix="0" xfId="1">
      <alignment horizontal="center" vertical="center" wrapText="1"/>
      <protection locked="0" hidden="0"/>
    </xf>
    <xf numFmtId="0" fontId="12" fillId="4" borderId="0" applyProtection="1" pivotButton="0" quotePrefix="0" xfId="0">
      <protection locked="0" hidden="0"/>
    </xf>
    <xf numFmtId="0" fontId="8" fillId="4" borderId="6" applyAlignment="1" applyProtection="1" pivotButton="0" quotePrefix="0" xfId="1">
      <alignment horizontal="center" vertical="center" wrapText="1"/>
      <protection locked="0" hidden="0"/>
    </xf>
    <xf numFmtId="164" fontId="8" fillId="4" borderId="12" applyAlignment="1" applyProtection="1" pivotButton="0" quotePrefix="0" xfId="1">
      <alignment horizontal="center" vertical="center" wrapText="1"/>
      <protection locked="0" hidden="0"/>
    </xf>
    <xf numFmtId="0" fontId="8" fillId="0" borderId="6" applyAlignment="1" applyProtection="1" pivotButton="0" quotePrefix="0" xfId="1">
      <alignment horizontal="center" vertical="center" wrapText="1"/>
      <protection locked="0" hidden="0"/>
    </xf>
    <xf numFmtId="0" fontId="8" fillId="0" borderId="0" applyAlignment="1" applyProtection="1" pivotButton="0" quotePrefix="0" xfId="1">
      <alignment vertical="center"/>
      <protection locked="0" hidden="0"/>
    </xf>
    <xf numFmtId="0" fontId="11" fillId="0" borderId="14" applyAlignment="1" applyProtection="1" pivotButton="0" quotePrefix="0" xfId="0">
      <alignment horizontal="center" vertical="center"/>
      <protection locked="0" hidden="0"/>
    </xf>
    <xf numFmtId="0" fontId="11" fillId="4" borderId="13" applyAlignment="1" applyProtection="1" pivotButton="0" quotePrefix="0" xfId="0">
      <alignment horizontal="center" vertical="center"/>
      <protection locked="0" hidden="0"/>
    </xf>
    <xf numFmtId="0" fontId="16" fillId="0" borderId="0" applyAlignment="1" applyProtection="1" pivotButton="0" quotePrefix="0" xfId="1">
      <alignment vertical="center"/>
      <protection locked="0" hidden="0"/>
    </xf>
    <xf numFmtId="49" fontId="8" fillId="0" borderId="32" applyAlignment="1" applyProtection="1" pivotButton="0" quotePrefix="1" xfId="1">
      <alignment horizontal="center" vertical="center"/>
      <protection locked="0" hidden="0"/>
    </xf>
    <xf numFmtId="0" fontId="8" fillId="0" borderId="32" applyAlignment="1" applyProtection="1" pivotButton="0" quotePrefix="0" xfId="1">
      <alignment horizontal="center" vertical="center"/>
      <protection locked="0" hidden="0"/>
    </xf>
    <xf numFmtId="0" fontId="8" fillId="0" borderId="33" applyAlignment="1" applyProtection="1" pivotButton="0" quotePrefix="0" xfId="1">
      <alignment horizontal="center" vertical="center"/>
      <protection locked="0" hidden="0"/>
    </xf>
    <xf numFmtId="0" fontId="18" fillId="10" borderId="0" applyAlignment="1" pivotButton="0" quotePrefix="0" xfId="1">
      <alignment horizontal="center" vertical="center"/>
    </xf>
    <xf numFmtId="0" fontId="18" fillId="10" borderId="25" applyAlignment="1" pivotButton="0" quotePrefix="0" xfId="1">
      <alignment horizontal="center" vertical="center"/>
    </xf>
    <xf numFmtId="0" fontId="18" fillId="10" borderId="25" applyAlignment="1" pivotButton="0" quotePrefix="1" xfId="1">
      <alignment horizontal="center" vertical="center"/>
    </xf>
    <xf numFmtId="0" fontId="8" fillId="6" borderId="20" applyAlignment="1" pivotButton="0" quotePrefix="0" xfId="1">
      <alignment horizontal="center" vertical="center"/>
    </xf>
    <xf numFmtId="0" fontId="8" fillId="0" borderId="28" applyAlignment="1" pivotButton="0" quotePrefix="0" xfId="1">
      <alignment horizontal="center" vertical="center" wrapText="1"/>
    </xf>
    <xf numFmtId="0" fontId="8" fillId="6" borderId="31" applyAlignment="1" pivotButton="0" quotePrefix="0" xfId="1">
      <alignment horizontal="center" vertical="center"/>
    </xf>
    <xf numFmtId="0" fontId="8" fillId="0" borderId="4" applyAlignment="1" pivotButton="0" quotePrefix="0" xfId="1">
      <alignment horizontal="center" vertical="center" wrapText="1"/>
    </xf>
    <xf numFmtId="0" fontId="8" fillId="6" borderId="24" applyAlignment="1" pivotButton="0" quotePrefix="0" xfId="1">
      <alignment horizontal="center" vertical="center"/>
    </xf>
    <xf numFmtId="0" fontId="8" fillId="0" borderId="33" applyAlignment="1" pivotButton="0" quotePrefix="0" xfId="1">
      <alignment horizontal="center" vertical="center" wrapText="1"/>
    </xf>
    <xf numFmtId="0" fontId="13" fillId="0" borderId="0" pivotButton="0" quotePrefix="0" xfId="0"/>
    <xf numFmtId="0" fontId="8" fillId="0" borderId="22" applyAlignment="1" pivotButton="0" quotePrefix="0" xfId="1">
      <alignment horizontal="center" vertical="top" wrapText="1"/>
    </xf>
    <xf numFmtId="165" fontId="8" fillId="4" borderId="13" applyAlignment="1" pivotButton="0" quotePrefix="0" xfId="1">
      <alignment horizontal="center" vertical="center" wrapText="1"/>
    </xf>
    <xf numFmtId="0" fontId="8" fillId="2" borderId="19" applyAlignment="1" pivotButton="0" quotePrefix="0" xfId="1">
      <alignment horizontal="center" vertical="center" wrapText="1"/>
    </xf>
    <xf numFmtId="166" fontId="8" fillId="3" borderId="17" applyAlignment="1" pivotButton="0" quotePrefix="0" xfId="1">
      <alignment horizontal="center" vertical="center" wrapText="1"/>
    </xf>
    <xf numFmtId="0" fontId="8" fillId="0" borderId="0" applyAlignment="1" pivotButton="0" quotePrefix="0" xfId="1">
      <alignment horizontal="center" vertical="center" wrapText="1"/>
    </xf>
    <xf numFmtId="166" fontId="8" fillId="7" borderId="9" applyAlignment="1" pivotButton="0" quotePrefix="0" xfId="1">
      <alignment horizontal="center" vertical="center" wrapText="1"/>
    </xf>
    <xf numFmtId="166" fontId="8" fillId="6" borderId="11" applyAlignment="1" pivotButton="0" quotePrefix="0" xfId="1">
      <alignment horizontal="center" vertical="center" wrapText="1"/>
    </xf>
    <xf numFmtId="166" fontId="8" fillId="0" borderId="0" applyAlignment="1" pivotButton="0" quotePrefix="0" xfId="1">
      <alignment horizontal="center" vertical="center" wrapText="1"/>
    </xf>
    <xf numFmtId="0" fontId="10" fillId="0" borderId="0" applyAlignment="1" applyProtection="1" pivotButton="0" quotePrefix="0" xfId="1">
      <alignment vertical="center"/>
      <protection locked="0" hidden="0"/>
    </xf>
    <xf numFmtId="0" fontId="9" fillId="0" borderId="0" applyAlignment="1" applyProtection="1" pivotButton="0" quotePrefix="0" xfId="1">
      <alignment vertical="center"/>
      <protection locked="0" hidden="0"/>
    </xf>
    <xf numFmtId="0" fontId="8" fillId="0" borderId="0" applyAlignment="1" applyProtection="1" pivotButton="0" quotePrefix="0" xfId="0">
      <alignment vertical="top"/>
      <protection locked="0" hidden="0"/>
    </xf>
    <xf numFmtId="0" fontId="8" fillId="0" borderId="0" applyAlignment="1" applyProtection="1" pivotButton="0" quotePrefix="0" xfId="1">
      <alignment horizontal="left" vertical="center"/>
      <protection locked="0" hidden="0"/>
    </xf>
    <xf numFmtId="0" fontId="18" fillId="9" borderId="25" applyAlignment="1" applyProtection="1" pivotButton="0" quotePrefix="0" xfId="1">
      <alignment horizontal="center" vertical="center"/>
      <protection locked="0" hidden="0"/>
    </xf>
    <xf numFmtId="0" fontId="8" fillId="0" borderId="0" applyAlignment="1" applyProtection="1" pivotButton="0" quotePrefix="0" xfId="1">
      <alignment horizontal="center" vertical="center"/>
      <protection locked="0" hidden="0"/>
    </xf>
    <xf numFmtId="0" fontId="8" fillId="0" borderId="0" applyProtection="1" pivotButton="0" quotePrefix="0" xfId="0">
      <protection locked="0" hidden="0"/>
    </xf>
    <xf numFmtId="0" fontId="8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1">
      <alignment vertical="center"/>
      <protection locked="0" hidden="0"/>
    </xf>
    <xf numFmtId="0" fontId="11" fillId="0" borderId="6" applyAlignment="1" applyProtection="1" pivotButton="0" quotePrefix="0" xfId="0">
      <alignment horizontal="center" vertical="center"/>
      <protection locked="0" hidden="0"/>
    </xf>
    <xf numFmtId="0" fontId="8" fillId="0" borderId="0" applyAlignment="1" applyProtection="1" pivotButton="0" quotePrefix="0" xfId="1">
      <alignment horizontal="left" vertical="top"/>
      <protection locked="0" hidden="0"/>
    </xf>
    <xf numFmtId="0" fontId="8" fillId="4" borderId="0" applyProtection="1" pivotButton="0" quotePrefix="0" xfId="0">
      <protection locked="0" hidden="0"/>
    </xf>
    <xf numFmtId="0" fontId="8" fillId="0" borderId="0" applyAlignment="1" applyProtection="1" pivotButton="0" quotePrefix="0" xfId="1">
      <alignment horizontal="left" vertical="top" wrapText="1"/>
      <protection locked="0" hidden="0"/>
    </xf>
    <xf numFmtId="0" fontId="12" fillId="0" borderId="0" applyProtection="1" pivotButton="0" quotePrefix="0" xfId="0">
      <protection locked="0" hidden="0"/>
    </xf>
    <xf numFmtId="0" fontId="11" fillId="0" borderId="0" applyAlignment="1" applyProtection="1" pivotButton="0" quotePrefix="0" xfId="1">
      <alignment horizontal="center" vertical="center" wrapText="1"/>
      <protection locked="0" hidden="0"/>
    </xf>
    <xf numFmtId="0" fontId="8" fillId="0" borderId="6" applyAlignment="1" pivotButton="0" quotePrefix="0" xfId="1">
      <alignment horizontal="center" vertical="center" wrapText="1"/>
    </xf>
    <xf numFmtId="0" fontId="8" fillId="0" borderId="8" applyAlignment="1" pivotButton="0" quotePrefix="0" xfId="1">
      <alignment horizontal="center" vertical="center"/>
    </xf>
    <xf numFmtId="0" fontId="8" fillId="0" borderId="9" applyAlignment="1" pivotButton="0" quotePrefix="0" xfId="1">
      <alignment horizontal="center" vertical="center" wrapText="1"/>
    </xf>
    <xf numFmtId="0" fontId="8" fillId="0" borderId="22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23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 textRotation="90"/>
    </xf>
    <xf numFmtId="0" fontId="8" fillId="0" borderId="8" applyAlignment="1" pivotButton="0" quotePrefix="0" xfId="1">
      <alignment horizontal="center" vertical="center" wrapText="1"/>
    </xf>
    <xf numFmtId="0" fontId="8" fillId="0" borderId="11" applyAlignment="1" pivotButton="0" quotePrefix="0" xfId="1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9" applyAlignment="1" pivotButton="0" quotePrefix="0" xfId="0">
      <alignment horizontal="center" vertical="center"/>
    </xf>
    <xf numFmtId="0" fontId="8" fillId="0" borderId="17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top" textRotation="90"/>
    </xf>
    <xf numFmtId="0" fontId="8" fillId="0" borderId="11" applyAlignment="1" pivotButton="0" quotePrefix="0" xfId="1">
      <alignment horizontal="center" vertical="center" wrapText="1"/>
    </xf>
    <xf numFmtId="0" fontId="8" fillId="4" borderId="12" applyAlignment="1" pivotButton="0" quotePrefix="0" xfId="1">
      <alignment horizontal="center" vertical="center" wrapText="1"/>
    </xf>
    <xf numFmtId="0" fontId="8" fillId="4" borderId="9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horizontal="center" vertical="center"/>
    </xf>
    <xf numFmtId="0" fontId="8" fillId="0" borderId="0" applyAlignment="1" pivotButton="0" quotePrefix="0" xfId="1">
      <alignment horizontal="center" vertical="center"/>
    </xf>
    <xf numFmtId="9" fontId="8" fillId="0" borderId="0" applyAlignment="1" applyProtection="1" pivotButton="0" quotePrefix="0" xfId="1">
      <alignment vertical="center"/>
      <protection locked="0" hidden="0"/>
    </xf>
    <xf numFmtId="0" fontId="18" fillId="9" borderId="37" applyAlignment="1" pivotButton="0" quotePrefix="0" xfId="0">
      <alignment vertical="center"/>
    </xf>
    <xf numFmtId="0" fontId="18" fillId="9" borderId="30" applyAlignment="1" pivotButton="0" quotePrefix="0" xfId="0">
      <alignment vertical="center"/>
    </xf>
    <xf numFmtId="0" fontId="8" fillId="0" borderId="44" applyAlignment="1" pivotButton="0" quotePrefix="0" xfId="1">
      <alignment vertical="center"/>
    </xf>
    <xf numFmtId="0" fontId="8" fillId="6" borderId="32" applyAlignment="1" pivotButton="0" quotePrefix="0" xfId="1">
      <alignment horizontal="center" vertical="center"/>
    </xf>
    <xf numFmtId="0" fontId="8" fillId="0" borderId="45" applyAlignment="1" pivotButton="0" quotePrefix="0" xfId="1">
      <alignment vertical="center"/>
    </xf>
    <xf numFmtId="0" fontId="8" fillId="6" borderId="36" applyAlignment="1" pivotButton="0" quotePrefix="0" xfId="1">
      <alignment horizontal="center" vertical="center"/>
    </xf>
    <xf numFmtId="166" fontId="8" fillId="3" borderId="18" applyAlignment="1" pivotButton="0" quotePrefix="0" xfId="1">
      <alignment horizontal="center" vertical="center" wrapText="1"/>
    </xf>
    <xf numFmtId="0" fontId="8" fillId="0" borderId="30" applyAlignment="1" applyProtection="1" pivotButton="0" quotePrefix="0" xfId="0">
      <alignment horizontal="center" vertical="center"/>
      <protection locked="0" hidden="0"/>
    </xf>
    <xf numFmtId="165" fontId="8" fillId="0" borderId="32" applyAlignment="1" applyProtection="1" pivotButton="0" quotePrefix="0" xfId="0">
      <alignment horizontal="center" vertical="center"/>
      <protection locked="0" hidden="0"/>
    </xf>
    <xf numFmtId="0" fontId="7" fillId="6" borderId="36" applyAlignment="1" applyProtection="1" pivotButton="0" quotePrefix="0" xfId="0">
      <alignment horizontal="center" vertical="center"/>
      <protection locked="0" hidden="0"/>
    </xf>
    <xf numFmtId="0" fontId="11" fillId="0" borderId="9" applyAlignment="1" applyProtection="1" pivotButton="0" quotePrefix="0" xfId="0">
      <alignment horizontal="center" vertical="center" wrapText="1"/>
      <protection locked="0" hidden="0"/>
    </xf>
    <xf numFmtId="0" fontId="8" fillId="3" borderId="29" applyAlignment="1" pivotButton="0" quotePrefix="0" xfId="1">
      <alignment horizontal="center" vertical="center" wrapText="1"/>
    </xf>
    <xf numFmtId="0" fontId="8" fillId="3" borderId="1" applyAlignment="1" pivotButton="0" quotePrefix="0" xfId="1">
      <alignment horizontal="center" vertical="center" wrapText="1"/>
    </xf>
    <xf numFmtId="0" fontId="8" fillId="3" borderId="34" applyAlignment="1" pivotButton="0" quotePrefix="0" xfId="1">
      <alignment horizontal="center" vertical="center" wrapText="1"/>
    </xf>
    <xf numFmtId="165" fontId="11" fillId="3" borderId="15" applyAlignment="1" pivotButton="0" quotePrefix="0" xfId="1">
      <alignment horizontal="center" vertical="center" wrapText="1"/>
    </xf>
    <xf numFmtId="0" fontId="0" fillId="0" borderId="4" pivotButton="0" quotePrefix="0" xfId="0"/>
    <xf numFmtId="0" fontId="0" fillId="0" borderId="44" pivotButton="0" quotePrefix="0" xfId="0"/>
    <xf numFmtId="0" fontId="0" fillId="0" borderId="32" pivotButton="0" quotePrefix="0" xfId="0"/>
    <xf numFmtId="0" fontId="0" fillId="0" borderId="45" pivotButton="0" quotePrefix="0" xfId="0"/>
    <xf numFmtId="0" fontId="0" fillId="0" borderId="33" pivotButton="0" quotePrefix="0" xfId="0"/>
    <xf numFmtId="0" fontId="0" fillId="0" borderId="3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8" fillId="0" borderId="32" applyAlignment="1" applyProtection="1" pivotButton="0" quotePrefix="1" xfId="1">
      <alignment horizontal="center" vertical="center"/>
      <protection locked="0" hidden="0"/>
    </xf>
    <xf numFmtId="0" fontId="0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0" fontId="8" fillId="3" borderId="4" applyAlignment="1" pivotButton="0" quotePrefix="0" xfId="1">
      <alignment horizontal="center" vertical="center" wrapText="1"/>
    </xf>
    <xf numFmtId="0" fontId="8" fillId="6" borderId="44" applyAlignment="1" pivotButton="0" quotePrefix="0" xfId="1">
      <alignment horizontal="center" vertical="center"/>
    </xf>
    <xf numFmtId="0" fontId="8" fillId="6" borderId="45" applyAlignment="1" pivotButton="0" quotePrefix="0" xfId="1">
      <alignment horizontal="center" vertical="center"/>
    </xf>
    <xf numFmtId="0" fontId="8" fillId="3" borderId="33" applyAlignment="1" pivotButton="0" quotePrefix="0" xfId="1">
      <alignment horizontal="center" vertical="center" wrapText="1"/>
    </xf>
    <xf numFmtId="0" fontId="12" fillId="0" borderId="33" applyAlignment="1" pivotButton="0" quotePrefix="0" xfId="0">
      <alignment horizontal="center"/>
    </xf>
    <xf numFmtId="0" fontId="8" fillId="0" borderId="36" applyAlignment="1" applyProtection="1" pivotButton="0" quotePrefix="1" xfId="1">
      <alignment horizontal="center" vertical="center"/>
      <protection locked="0" hidden="0"/>
    </xf>
    <xf numFmtId="0" fontId="8" fillId="6" borderId="47" applyAlignment="1" pivotButton="0" quotePrefix="0" xfId="1">
      <alignment horizontal="center" vertical="center"/>
    </xf>
    <xf numFmtId="0" fontId="8" fillId="0" borderId="48" applyAlignment="1" pivotButton="0" quotePrefix="0" xfId="1">
      <alignment horizontal="center" vertical="center" wrapText="1"/>
    </xf>
    <xf numFmtId="0" fontId="8" fillId="3" borderId="48" applyAlignment="1" pivotButton="0" quotePrefix="0" xfId="1">
      <alignment horizontal="center" vertical="center" wrapText="1"/>
    </xf>
    <xf numFmtId="0" fontId="12" fillId="0" borderId="48" applyAlignment="1" pivotButton="0" quotePrefix="0" xfId="0">
      <alignment horizontal="center"/>
    </xf>
    <xf numFmtId="0" fontId="8" fillId="0" borderId="48" applyAlignment="1" applyProtection="1" pivotButton="0" quotePrefix="0" xfId="1">
      <alignment horizontal="center" vertical="center"/>
      <protection locked="0" hidden="0"/>
    </xf>
    <xf numFmtId="0" fontId="8" fillId="0" borderId="49" applyAlignment="1" applyProtection="1" pivotButton="0" quotePrefix="1" xfId="1">
      <alignment horizontal="center" vertical="center"/>
      <protection locked="0" hidden="0"/>
    </xf>
    <xf numFmtId="0" fontId="18" fillId="10" borderId="22" applyAlignment="1" pivotButton="0" quotePrefix="0" xfId="1">
      <alignment horizontal="center" vertical="center"/>
    </xf>
    <xf numFmtId="0" fontId="18" fillId="10" borderId="13" applyAlignment="1" pivotButton="0" quotePrefix="0" xfId="1">
      <alignment horizontal="center" vertical="center"/>
    </xf>
    <xf numFmtId="0" fontId="18" fillId="10" borderId="13" applyAlignment="1" pivotButton="0" quotePrefix="1" xfId="1">
      <alignment horizontal="center" vertical="center" wrapText="1"/>
    </xf>
    <xf numFmtId="0" fontId="17" fillId="10" borderId="13" applyAlignment="1" pivotButton="0" quotePrefix="1" xfId="1">
      <alignment horizontal="center" vertical="center" wrapText="1"/>
    </xf>
    <xf numFmtId="0" fontId="18" fillId="9" borderId="13" applyAlignment="1" applyProtection="1" pivotButton="0" quotePrefix="0" xfId="1">
      <alignment horizontal="center" vertical="center"/>
      <protection locked="0" hidden="0"/>
    </xf>
    <xf numFmtId="0" fontId="18" fillId="9" borderId="23" applyAlignment="1" applyProtection="1" pivotButton="0" quotePrefix="0" xfId="1">
      <alignment horizontal="center" vertical="center"/>
      <protection locked="0" hidden="0"/>
    </xf>
    <xf numFmtId="0" fontId="21" fillId="0" borderId="22" applyAlignment="1" pivotButton="0" quotePrefix="0" xfId="0">
      <alignment vertical="center"/>
    </xf>
    <xf numFmtId="0" fontId="8" fillId="0" borderId="6" applyAlignment="1" pivotButton="0" quotePrefix="0" xfId="1">
      <alignment horizontal="center" vertical="center" wrapText="1"/>
    </xf>
    <xf numFmtId="0" fontId="8" fillId="0" borderId="6" applyAlignment="1" pivotButton="0" quotePrefix="0" xfId="1">
      <alignment horizontal="center" vertical="center"/>
    </xf>
    <xf numFmtId="0" fontId="8" fillId="0" borderId="7" applyAlignment="1" pivotButton="0" quotePrefix="0" xfId="1">
      <alignment horizontal="center" vertical="center" wrapText="1"/>
    </xf>
    <xf numFmtId="0" fontId="8" fillId="0" borderId="8" applyAlignment="1" pivotButton="0" quotePrefix="0" xfId="0">
      <alignment horizontal="center" vertical="center"/>
    </xf>
    <xf numFmtId="0" fontId="14" fillId="8" borderId="9" applyAlignment="1" applyProtection="1" pivotButton="0" quotePrefix="0" xfId="1">
      <alignment horizontal="left" vertical="top" wrapText="1"/>
      <protection locked="0" hidden="0"/>
    </xf>
    <xf numFmtId="0" fontId="14" fillId="8" borderId="10" applyAlignment="1" applyProtection="1" pivotButton="0" quotePrefix="0" xfId="1">
      <alignment horizontal="left" vertical="top" wrapText="1"/>
      <protection locked="0" hidden="0"/>
    </xf>
    <xf numFmtId="0" fontId="14" fillId="8" borderId="11" applyAlignment="1" applyProtection="1" pivotButton="0" quotePrefix="0" xfId="1">
      <alignment horizontal="left" vertical="top" wrapText="1"/>
      <protection locked="0" hidden="0"/>
    </xf>
    <xf numFmtId="0" fontId="8" fillId="0" borderId="8" applyAlignment="1" pivotButton="0" quotePrefix="0" xfId="1">
      <alignment horizontal="center" vertical="center"/>
    </xf>
    <xf numFmtId="0" fontId="18" fillId="9" borderId="26" applyAlignment="1" applyProtection="1" pivotButton="0" quotePrefix="0" xfId="1">
      <alignment horizontal="center" vertical="center"/>
      <protection locked="0" hidden="0"/>
    </xf>
    <xf numFmtId="0" fontId="18" fillId="9" borderId="27" applyAlignment="1" applyProtection="1" pivotButton="0" quotePrefix="0" xfId="1">
      <alignment horizontal="center" vertical="center"/>
      <protection locked="0" hidden="0"/>
    </xf>
    <xf numFmtId="14" fontId="8" fillId="0" borderId="20" applyAlignment="1" applyProtection="1" pivotButton="0" quotePrefix="0" xfId="1">
      <alignment horizontal="center" vertical="center" wrapText="1"/>
      <protection locked="0" hidden="0"/>
    </xf>
    <xf numFmtId="14" fontId="8" fillId="0" borderId="46" applyAlignment="1" applyProtection="1" pivotButton="0" quotePrefix="0" xfId="1">
      <alignment horizontal="center" vertical="center" wrapText="1"/>
      <protection locked="0" hidden="0"/>
    </xf>
    <xf numFmtId="167" fontId="8" fillId="0" borderId="20" applyAlignment="1" applyProtection="1" pivotButton="0" quotePrefix="0" xfId="1">
      <alignment horizontal="center" vertical="center" wrapText="1"/>
      <protection locked="0" hidden="0"/>
    </xf>
    <xf numFmtId="167" fontId="8" fillId="0" borderId="46" applyAlignment="1" applyProtection="1" pivotButton="0" quotePrefix="0" xfId="1">
      <alignment horizontal="center" vertical="center" wrapText="1"/>
      <protection locked="0" hidden="0"/>
    </xf>
    <xf numFmtId="167" fontId="8" fillId="0" borderId="44" applyAlignment="1" applyProtection="1" pivotButton="0" quotePrefix="0" xfId="1">
      <alignment horizontal="center" vertical="center" wrapText="1"/>
      <protection locked="0" hidden="0"/>
    </xf>
    <xf numFmtId="167" fontId="8" fillId="0" borderId="4" applyAlignment="1" applyProtection="1" pivotButton="0" quotePrefix="0" xfId="1">
      <alignment horizontal="center" vertical="center" wrapText="1"/>
      <protection locked="0" hidden="0"/>
    </xf>
    <xf numFmtId="0" fontId="6" fillId="0" borderId="20" applyAlignment="1" pivotButton="0" quotePrefix="0" xfId="1">
      <alignment horizontal="center" vertical="center" wrapText="1"/>
    </xf>
    <xf numFmtId="0" fontId="6" fillId="0" borderId="21" applyAlignment="1" pivotButton="0" quotePrefix="0" xfId="1">
      <alignment horizontal="center" vertical="center" wrapText="1"/>
    </xf>
    <xf numFmtId="0" fontId="6" fillId="0" borderId="16" applyAlignment="1" pivotButton="0" quotePrefix="0" xfId="1">
      <alignment horizontal="center" vertical="center" wrapText="1"/>
    </xf>
    <xf numFmtId="0" fontId="8" fillId="0" borderId="9" applyAlignment="1" pivotButton="0" quotePrefix="0" xfId="1">
      <alignment horizontal="center" vertical="center" wrapText="1"/>
    </xf>
    <xf numFmtId="0" fontId="8" fillId="0" borderId="8" applyAlignment="1" pivotButton="0" quotePrefix="0" xfId="1">
      <alignment horizontal="center" vertical="center" wrapText="1"/>
    </xf>
    <xf numFmtId="0" fontId="8" fillId="0" borderId="7" applyAlignment="1" pivotButton="0" quotePrefix="0" xfId="1">
      <alignment horizontal="center" vertical="center"/>
    </xf>
    <xf numFmtId="0" fontId="8" fillId="0" borderId="9" applyAlignment="1" pivotButton="0" quotePrefix="0" xfId="1">
      <alignment horizontal="center" vertical="center"/>
    </xf>
    <xf numFmtId="0" fontId="8" fillId="0" borderId="10" applyAlignment="1" pivotButton="0" quotePrefix="0" xfId="1">
      <alignment horizontal="center" vertical="center"/>
    </xf>
    <xf numFmtId="0" fontId="8" fillId="0" borderId="11" applyAlignment="1" pivotButton="0" quotePrefix="0" xfId="1">
      <alignment horizontal="center" vertical="center"/>
    </xf>
    <xf numFmtId="0" fontId="8" fillId="0" borderId="4" applyAlignment="1" pivotButton="0" quotePrefix="0" xfId="1">
      <alignment horizontal="center" vertical="center"/>
    </xf>
    <xf numFmtId="0" fontId="8" fillId="0" borderId="32" applyAlignment="1" pivotButton="0" quotePrefix="0" xfId="1">
      <alignment horizontal="center" vertical="center"/>
    </xf>
    <xf numFmtId="0" fontId="8" fillId="0" borderId="33" applyAlignment="1" pivotButton="0" quotePrefix="0" xfId="1">
      <alignment horizontal="center" vertical="center"/>
    </xf>
    <xf numFmtId="0" fontId="8" fillId="0" borderId="36" applyAlignment="1" pivotButton="0" quotePrefix="0" xfId="1">
      <alignment horizontal="center" vertical="center"/>
    </xf>
    <xf numFmtId="167" fontId="8" fillId="0" borderId="41" applyAlignment="1" applyProtection="1" pivotButton="0" quotePrefix="0" xfId="1">
      <alignment horizontal="center" vertical="center" wrapText="1"/>
      <protection locked="0" hidden="0"/>
    </xf>
    <xf numFmtId="167" fontId="8" fillId="0" borderId="3" applyAlignment="1" applyProtection="1" pivotButton="0" quotePrefix="0" xfId="1">
      <alignment horizontal="center" vertical="center" wrapText="1"/>
      <protection locked="0" hidden="0"/>
    </xf>
    <xf numFmtId="166" fontId="17" fillId="9" borderId="9" applyAlignment="1" applyProtection="1" pivotButton="0" quotePrefix="0" xfId="1">
      <alignment horizontal="center" vertical="center" wrapText="1"/>
      <protection locked="0" hidden="0"/>
    </xf>
    <xf numFmtId="166" fontId="17" fillId="9" borderId="10" applyAlignment="1" applyProtection="1" pivotButton="0" quotePrefix="0" xfId="1">
      <alignment horizontal="center" vertical="center" wrapText="1"/>
      <protection locked="0" hidden="0"/>
    </xf>
    <xf numFmtId="166" fontId="17" fillId="9" borderId="11" applyAlignment="1" applyProtection="1" pivotButton="0" quotePrefix="0" xfId="1">
      <alignment horizontal="center" vertical="center" wrapText="1"/>
      <protection locked="0" hidden="0"/>
    </xf>
    <xf numFmtId="0" fontId="8" fillId="0" borderId="37" applyAlignment="1" pivotButton="0" quotePrefix="0" xfId="1">
      <alignment horizontal="center" vertical="center"/>
    </xf>
    <xf numFmtId="0" fontId="8" fillId="0" borderId="28" applyAlignment="1" pivotButton="0" quotePrefix="0" xfId="1">
      <alignment horizontal="center" vertical="center"/>
    </xf>
    <xf numFmtId="0" fontId="8" fillId="0" borderId="44" applyAlignment="1" pivotButton="0" quotePrefix="0" xfId="1">
      <alignment horizontal="center" vertical="center"/>
    </xf>
    <xf numFmtId="0" fontId="11" fillId="0" borderId="45" applyAlignment="1" pivotButton="0" quotePrefix="0" xfId="1">
      <alignment horizontal="center" vertical="center"/>
    </xf>
    <xf numFmtId="0" fontId="11" fillId="0" borderId="33" applyAlignment="1" pivotButton="0" quotePrefix="0" xfId="1">
      <alignment horizontal="center" vertical="center"/>
    </xf>
    <xf numFmtId="0" fontId="18" fillId="9" borderId="29" applyAlignment="1" pivotButton="0" quotePrefix="0" xfId="0">
      <alignment horizontal="center" vertical="center"/>
    </xf>
    <xf numFmtId="0" fontId="18" fillId="9" borderId="40" applyAlignment="1" pivotButton="0" quotePrefix="0" xfId="0">
      <alignment horizontal="center" vertical="center"/>
    </xf>
    <xf numFmtId="0" fontId="18" fillId="9" borderId="38" applyAlignment="1" pivotButton="0" quotePrefix="0" xfId="0">
      <alignment horizontal="center" vertical="center"/>
    </xf>
    <xf numFmtId="0" fontId="18" fillId="9" borderId="39" applyAlignment="1" pivotButton="0" quotePrefix="0" xfId="0">
      <alignment horizontal="center" vertical="center"/>
    </xf>
    <xf numFmtId="0" fontId="8" fillId="0" borderId="41" applyAlignment="1" pivotButton="0" quotePrefix="0" xfId="1">
      <alignment vertical="center"/>
    </xf>
    <xf numFmtId="0" fontId="8" fillId="0" borderId="2" applyAlignment="1" pivotButton="0" quotePrefix="0" xfId="1">
      <alignment vertical="center"/>
    </xf>
    <xf numFmtId="0" fontId="8" fillId="0" borderId="3" applyAlignment="1" pivotButton="0" quotePrefix="0" xfId="1">
      <alignment vertical="center"/>
    </xf>
    <xf numFmtId="0" fontId="8" fillId="0" borderId="42" applyAlignment="1" pivotButton="0" quotePrefix="0" xfId="1">
      <alignment vertical="center"/>
    </xf>
    <xf numFmtId="0" fontId="8" fillId="0" borderId="43" applyAlignment="1" pivotButton="0" quotePrefix="0" xfId="1">
      <alignment vertical="center"/>
    </xf>
    <xf numFmtId="0" fontId="8" fillId="0" borderId="35" applyAlignment="1" pivotButton="0" quotePrefix="0" xfId="1">
      <alignment vertical="center"/>
    </xf>
    <xf numFmtId="167" fontId="8" fillId="0" borderId="33" applyAlignment="1" applyProtection="1" pivotButton="0" quotePrefix="0" xfId="1">
      <alignment horizontal="center" vertical="center" wrapText="1"/>
      <protection locked="0" hidden="0"/>
    </xf>
    <xf numFmtId="0" fontId="18" fillId="9" borderId="13" applyAlignment="1" applyProtection="1" pivotButton="0" quotePrefix="0" xfId="1">
      <alignment horizontal="center" vertical="center"/>
      <protection locked="0" hidden="0"/>
    </xf>
    <xf numFmtId="167" fontId="8" fillId="0" borderId="48" applyAlignment="1" applyProtection="1" pivotButton="0" quotePrefix="0" xfId="1">
      <alignment horizontal="center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0" fillId="0" borderId="39" pivotButton="0" quotePrefix="0" xfId="0"/>
    <xf numFmtId="0" fontId="18" fillId="9" borderId="30" applyAlignment="1" pivotButton="0" quotePrefix="0" xfId="0">
      <alignment horizontal="center" vertical="center"/>
    </xf>
    <xf numFmtId="0" fontId="0" fillId="0" borderId="40" pivotButton="0" quotePrefix="0" xfId="0"/>
    <xf numFmtId="14" fontId="8" fillId="0" borderId="54" applyAlignment="1" applyProtection="1" pivotButton="0" quotePrefix="0" xfId="1">
      <alignment horizontal="center" vertical="center" wrapText="1"/>
      <protection locked="0" hidden="0"/>
    </xf>
    <xf numFmtId="0" fontId="0" fillId="0" borderId="46" applyProtection="1" pivotButton="0" quotePrefix="0" xfId="0">
      <protection locked="0" hidden="0"/>
    </xf>
    <xf numFmtId="0" fontId="0" fillId="0" borderId="2" pivotButton="0" quotePrefix="0" xfId="0"/>
    <xf numFmtId="0" fontId="0" fillId="0" borderId="3" pivotButton="0" quotePrefix="0" xfId="0"/>
    <xf numFmtId="167" fontId="8" fillId="0" borderId="54" applyAlignment="1" applyProtection="1" pivotButton="0" quotePrefix="0" xfId="1">
      <alignment horizontal="center" vertical="center" wrapText="1"/>
      <protection locked="0" hidden="0"/>
    </xf>
    <xf numFmtId="0" fontId="0" fillId="0" borderId="43" pivotButton="0" quotePrefix="0" xfId="0"/>
    <xf numFmtId="0" fontId="0" fillId="0" borderId="35" pivotButton="0" quotePrefix="0" xfId="0"/>
    <xf numFmtId="167" fontId="8" fillId="0" borderId="44" applyAlignment="1" applyProtection="1" pivotButton="0" quotePrefix="0" xfId="1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165" fontId="8" fillId="4" borderId="13" applyAlignment="1" pivotButton="0" quotePrefix="0" xfId="1">
      <alignment horizontal="center" vertical="center" wrapText="1"/>
    </xf>
    <xf numFmtId="165" fontId="11" fillId="3" borderId="15" applyAlignment="1" pivotButton="0" quotePrefix="0" xfId="1">
      <alignment horizontal="center" vertical="center" wrapText="1"/>
    </xf>
    <xf numFmtId="166" fontId="17" fillId="9" borderId="6" applyAlignment="1" applyProtection="1" pivotButton="0" quotePrefix="0" xfId="1">
      <alignment horizontal="center" vertical="center" wrapTex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50" pivotButton="0" quotePrefix="0" xfId="0"/>
    <xf numFmtId="165" fontId="8" fillId="0" borderId="32" applyAlignment="1" applyProtection="1" pivotButton="0" quotePrefix="0" xfId="0">
      <alignment horizontal="center" vertical="center"/>
      <protection locked="0" hidden="0"/>
    </xf>
    <xf numFmtId="0" fontId="0" fillId="0" borderId="21" pivotButton="0" quotePrefix="0" xfId="0"/>
    <xf numFmtId="0" fontId="0" fillId="0" borderId="16" pivotButton="0" quotePrefix="0" xfId="0"/>
    <xf numFmtId="0" fontId="6" fillId="0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24" pivotButton="0" quotePrefix="0" xfId="0"/>
    <xf numFmtId="0" fontId="0" fillId="0" borderId="5" pivotButton="0" quotePrefix="0" xfId="0"/>
    <xf numFmtId="0" fontId="0" fillId="0" borderId="12" pivotButton="0" quotePrefix="0" xfId="0"/>
    <xf numFmtId="0" fontId="0" fillId="0" borderId="10" pivotButton="0" quotePrefix="0" xfId="0"/>
    <xf numFmtId="0" fontId="0" fillId="0" borderId="11" pivotButton="0" quotePrefix="0" xfId="0"/>
    <xf numFmtId="0" fontId="14" fillId="8" borderId="6" applyAlignment="1" applyProtection="1" pivotButton="0" quotePrefix="0" xfId="1">
      <alignment horizontal="left" vertical="top" wrapText="1"/>
      <protection locked="0" hidden="0"/>
    </xf>
    <xf numFmtId="0" fontId="0" fillId="0" borderId="14" applyProtection="1" pivotButton="0" quotePrefix="0" xfId="0">
      <protection locked="0" hidden="0"/>
    </xf>
    <xf numFmtId="167" fontId="8" fillId="0" borderId="48" applyAlignment="1" applyProtection="1" pivotButton="0" quotePrefix="0" xfId="1">
      <alignment horizontal="center" vertical="center" wrapText="1"/>
      <protection locked="0" hidden="0"/>
    </xf>
    <xf numFmtId="0" fontId="0" fillId="0" borderId="56" applyProtection="1" pivotButton="0" quotePrefix="0" xfId="0">
      <protection locked="0" hidden="0"/>
    </xf>
    <xf numFmtId="167" fontId="8" fillId="0" borderId="4" applyAlignment="1" applyProtection="1" pivotButton="0" quotePrefix="0" xfId="1">
      <alignment horizontal="center" vertical="center" wrapText="1"/>
      <protection locked="0" hidden="0"/>
    </xf>
    <xf numFmtId="167" fontId="8" fillId="0" borderId="33" applyAlignment="1" applyProtection="1" pivotButton="0" quotePrefix="0" xfId="1">
      <alignment horizontal="center" vertical="center" wrapText="1"/>
      <protection locked="0" hidden="0"/>
    </xf>
    <xf numFmtId="0" fontId="0" fillId="0" borderId="35" applyProtection="1" pivotButton="0" quotePrefix="0" xfId="0">
      <protection locked="0" hidden="0"/>
    </xf>
  </cellXfs>
  <cellStyles count="3">
    <cellStyle name="Normal" xfId="0" builtinId="0"/>
    <cellStyle name="標準_CNRGI TD_FQCM_Audit" xfId="1"/>
    <cellStyle name="標準 2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pivotCacheDefinition" Target="/xl/pivotCache/pivotCacheDefinition1.xml" Id="rId5"/><Relationship Type="http://schemas.openxmlformats.org/officeDocument/2006/relationships/pivotCacheDefinition" Target="/xl/pivotCache/pivotCacheDefinition2.xml" Id="rId6"/><Relationship Type="http://schemas.openxmlformats.org/officeDocument/2006/relationships/pivotCacheDefinition" Target="/xl/pivotCache/pivotCacheDefinition3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80" b="0" i="0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Defect Type Wise Break-up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80" b="0" i="0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FF0000"/>
              </a:solidFill>
              <a:ln xmlns:a="http://schemas.openxmlformats.org/drawingml/2006/main" w="1905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0070C0"/>
              </a:solidFill>
              <a:ln xmlns:a="http://schemas.openxmlformats.org/drawingml/2006/main" w="1905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92D050"/>
              </a:solidFill>
              <a:ln xmlns:a="http://schemas.openxmlformats.org/drawingml/2006/main" w="19050">
                <a:noFill/>
                <a:prstDash val="solid"/>
              </a:ln>
            </spPr>
          </dPt>
          <dLbls>
            <dLbl>
              <idx val="0"/>
              <dLblPos val="bestFit"/>
              <showLegendKey val="0"/>
              <showVal val="1"/>
              <showCatName val="1"/>
              <showSerName val="0"/>
              <showPercent val="0"/>
              <showBubbleSize val="0"/>
            </dLbl>
            <dLbl>
              <idx val="1"/>
              <dLblPos val="bestFit"/>
              <showLegendKey val="0"/>
              <showVal val="1"/>
              <showCatName val="1"/>
              <showSerName val="0"/>
              <showPercent val="0"/>
              <showBubbleSize val="0"/>
            </dLbl>
            <dLbl>
              <idx val="2"/>
              <dLblPos val="bestFit"/>
              <showLegendKey val="0"/>
              <showVal val="1"/>
              <showCatName val="1"/>
              <showSerName val="0"/>
              <showPercent val="0"/>
              <showBubbleSize val="0"/>
            </dLbl>
            <dLbl>
              <idx val="3"/>
              <dLblPos val="bestFit"/>
              <showLegendKey val="0"/>
              <showVal val="1"/>
              <showCatName val="1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6576" tIns="18288" rIns="36576" bIns="18288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400" b="0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1"/>
            <showSerName val="0"/>
            <showPercent val="0"/>
            <showBubbleSize val="0"/>
            <showLeaderLines val="1"/>
          </dLbls>
          <cat>
            <strRef>
              <f>'Product Audit Final '!$M$3:$M$6</f>
              <strCache>
                <ptCount val="4"/>
                <pt idx="0">
                  <v>Safety</v>
                </pt>
                <pt idx="1">
                  <v>Functional</v>
                </pt>
                <pt idx="2">
                  <v>Major Aesthetics</v>
                </pt>
                <pt idx="3">
                  <v>Minor Aesthetics</v>
                </pt>
              </strCache>
            </strRef>
          </cat>
          <val>
            <numRef>
              <f>'Product Audit Final '!$R$3:$R$6</f>
              <numCache>
                <formatCode>General</formatCode>
                <ptCount val="4"/>
                <pt idx="0">
                  <v>0</v>
                </pt>
                <pt idx="1">
                  <v>2</v>
                </pt>
                <pt idx="2">
                  <v>1</v>
                </pt>
                <pt idx="3">
                  <v>7</v>
                </pt>
              </numCache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6576" tIns="18288" rIns="36576" bIns="18288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400" b="0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'Product Audit Final '!$M$3:$M$6</f>
              <strCache>
                <ptCount val="4"/>
                <pt idx="0">
                  <v>Safety</v>
                </pt>
                <pt idx="1">
                  <v>Functional</v>
                </pt>
                <pt idx="2">
                  <v>Major Aesthetics</v>
                </pt>
                <pt idx="3">
                  <v>Minor Aesthetics</v>
                </pt>
              </strCache>
            </strRef>
          </cat>
          <val>
            <numRef>
              <f>'Product Audit Final '!$S$3:$S$6</f>
              <numCache>
                <formatCode>General</formatCode>
                <ptCount val="4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gap"/>
  </chart>
  <spPr>
    <a:solidFill xmlns:a="http://schemas.openxmlformats.org/drawingml/2006/main">
      <a:srgbClr val="002060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Defect Classification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0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'Product Audit Final '!$C$2:$F$2</f>
              <strCache>
                <ptCount val="4"/>
                <pt idx="0">
                  <v>A</v>
                </pt>
                <pt idx="1">
                  <v>B</v>
                </pt>
                <pt idx="2">
                  <v>C</v>
                </pt>
                <pt idx="3">
                  <v>D</v>
                </pt>
              </strCache>
            </strRef>
          </cat>
          <val>
            <numRef>
              <f>'Product Audit Final '!$C$28:$F$28</f>
              <numCache>
                <formatCode xml:space="preserve">0_ </formatCode>
                <ptCount val="4"/>
                <pt idx="0">
                  <v>0</v>
                </pt>
                <pt idx="1">
                  <v>0</v>
                </pt>
                <pt idx="2">
                  <v>8</v>
                </pt>
                <pt idx="3">
                  <v>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881029663"/>
        <axId val="881025343"/>
      </barChart>
      <catAx>
        <axId val="8810296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81025343"/>
        <crosses val="autoZero"/>
        <auto val="1"/>
        <lblAlgn val="ctr"/>
        <lblOffset val="100"/>
        <noMultiLvlLbl val="0"/>
      </catAx>
      <valAx>
        <axId val="881025343"/>
        <scaling>
          <orientation val="minMax"/>
        </scaling>
        <delete val="0"/>
        <axPos val="l"/>
        <numFmt formatCode="0_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81029663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002060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pivotSource>
    <name>[Weekly QFL4 Audit Report.xlsx]Pivot table!PivotTable4</name>
    <fmtId val="3"/>
  </pivotSource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 xml:space="preserve">Department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dLblPos val="outEnd"/>
          <showLegendKey val="0"/>
          <showVal val="1"/>
          <showCatName val="0"/>
          <showSerName val="0"/>
          <showPercent val="0"/>
          <showBubbleSize val="0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dLblPos val="outEnd"/>
          <showLegendKey val="0"/>
          <showVal val="1"/>
          <showCatName val="0"/>
          <showSerName val="0"/>
          <showPercent val="0"/>
          <showBubbleSize val="0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0" i="0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dLblPos val="outEnd"/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'Pivot table'!$Z$3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0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'Pivot table'!$Y$4:$Y$13</f>
              <strCache>
                <ptCount val="9"/>
                <pt idx="0">
                  <v>Assembly Shop</v>
                </pt>
                <pt idx="1">
                  <v>CKD</v>
                </pt>
                <pt idx="2">
                  <v>Final Confirmation</v>
                </pt>
                <pt idx="3">
                  <v>Paint Shop</v>
                </pt>
                <pt idx="4">
                  <v>QA Receiving</v>
                </pt>
                <pt idx="5">
                  <v>Responsible Section</v>
                </pt>
                <pt idx="6">
                  <v>Tester Line</v>
                </pt>
                <pt idx="7">
                  <v>Weld Shop</v>
                </pt>
                <pt idx="8">
                  <v>(blank)</v>
                </pt>
              </strCache>
            </strRef>
          </cat>
          <val>
            <numRef>
              <f>'Pivot table'!$Z$4:$Z$13</f>
              <numCache>
                <formatCode>General</formatCode>
                <ptCount val="9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58734575"/>
        <axId val="758721135"/>
      </barChart>
      <catAx>
        <axId val="758734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58721135"/>
        <crosses val="autoZero"/>
        <auto val="1"/>
        <lblAlgn val="ctr"/>
        <lblOffset val="100"/>
        <noMultiLvlLbl val="0"/>
      </catAx>
      <valAx>
        <axId val="75872113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587345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002060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jpeg" Id="rId4"/><Relationship Type="http://schemas.openxmlformats.org/officeDocument/2006/relationships/image" Target="/xl/media/image2.jpeg" Id="rId5"/><Relationship Type="http://schemas.openxmlformats.org/officeDocument/2006/relationships/image" Target="/xl/media/image3.jpeg" Id="rId6"/><Relationship Type="http://schemas.openxmlformats.org/officeDocument/2006/relationships/image" Target="/xl/media/image4.jpeg" Id="rId7"/><Relationship Type="http://schemas.openxmlformats.org/officeDocument/2006/relationships/image" Target="/xl/media/image5.jpeg" Id="rId8"/><Relationship Type="http://schemas.openxmlformats.org/officeDocument/2006/relationships/image" Target="/xl/media/image6.jpeg" Id="rId9"/><Relationship Type="http://schemas.openxmlformats.org/officeDocument/2006/relationships/image" Target="/xl/media/image7.jpeg" Id="rId10"/><Relationship Type="http://schemas.openxmlformats.org/officeDocument/2006/relationships/image" Target="/xl/media/image8.jpeg" Id="rId11"/><Relationship Type="http://schemas.openxmlformats.org/officeDocument/2006/relationships/image" Target="/xl/media/image9.jpeg" Id="rId12"/><Relationship Type="http://schemas.openxmlformats.org/officeDocument/2006/relationships/image" Target="/xl/media/image10.jpeg" Id="rId13"/><Relationship Type="http://schemas.openxmlformats.org/officeDocument/2006/relationships/image" Target="/xl/media/image11.jpeg" Id="rId14"/><Relationship Type="http://schemas.openxmlformats.org/officeDocument/2006/relationships/image" Target="/xl/media/image12.jpeg" Id="rId15"/><Relationship Type="http://schemas.openxmlformats.org/officeDocument/2006/relationships/image" Target="/xl/media/image13.jpeg" Id="rId16"/><Relationship Type="http://schemas.openxmlformats.org/officeDocument/2006/relationships/image" Target="/xl/media/image14.jpeg" Id="rId17"/><Relationship Type="http://schemas.openxmlformats.org/officeDocument/2006/relationships/image" Target="/xl/media/image15.jpeg" Id="rId18"/><Relationship Type="http://schemas.openxmlformats.org/officeDocument/2006/relationships/image" Target="/xl/media/image16.jpeg" Id="rId19"/><Relationship Type="http://schemas.openxmlformats.org/officeDocument/2006/relationships/image" Target="/xl/media/image17.jpeg" Id="rId20"/><Relationship Type="http://schemas.openxmlformats.org/officeDocument/2006/relationships/image" Target="/xl/media/image18.jpeg" Id="rId21"/><Relationship Type="http://schemas.openxmlformats.org/officeDocument/2006/relationships/image" Target="/xl/media/image19.jpeg" Id="rId22"/><Relationship Type="http://schemas.openxmlformats.org/officeDocument/2006/relationships/image" Target="/xl/media/image20.jpeg" Id="rId23"/></Relationships>
</file>

<file path=xl/drawings/drawing1.xml><?xml version="1.0" encoding="utf-8"?>
<wsDr xmlns="http://schemas.openxmlformats.org/drawingml/2006/spreadsheetDrawing">
  <twoCellAnchor>
    <from>
      <col>12</col>
      <colOff>26000</colOff>
      <row>6</row>
      <rowOff>121055</rowOff>
    </from>
    <to>
      <col>36</col>
      <colOff>119061</colOff>
      <row>30</row>
      <rowOff>142875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39</col>
      <colOff>184547</colOff>
      <row>17</row>
      <rowOff>33338</rowOff>
    </from>
    <to>
      <col>41</col>
      <colOff>428624</colOff>
      <row>30</row>
      <rowOff>166687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41</col>
      <colOff>523874</colOff>
      <row>17</row>
      <rowOff>59531</rowOff>
    </from>
    <to>
      <col>46</col>
      <colOff>583405</colOff>
      <row>30</row>
      <rowOff>142875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71436</colOff>
      <row>35</row>
      <rowOff>47623</rowOff>
    </from>
    <to>
      <col>9</col>
      <colOff>1714499</colOff>
      <row>35</row>
      <rowOff>1309686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4190999" y="7655717"/>
          <a:ext cx="1643063" cy="12620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95250</colOff>
      <row>36</row>
      <rowOff>57151</rowOff>
    </from>
    <to>
      <col>9</col>
      <colOff>1702593</colOff>
      <row>36</row>
      <rowOff>1309687</rowOff>
    </to>
    <pic>
      <nvPicPr>
        <cNvPr id="13" name="Picture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5"/>
        <a:srcRect xmlns:a="http://schemas.openxmlformats.org/drawingml/2006/main" t="32467" b="32467"/>
        <a:stretch xmlns:a="http://schemas.openxmlformats.org/drawingml/2006/main">
          <a:fillRect/>
        </a:stretch>
      </blipFill>
      <spPr>
        <a:xfrm xmlns:a="http://schemas.openxmlformats.org/drawingml/2006/main">
          <a:off x="4214813" y="9058276"/>
          <a:ext cx="1607343" cy="125253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80963</colOff>
      <row>37</row>
      <rowOff>59530</rowOff>
    </from>
    <to>
      <col>9</col>
      <colOff>1688306</colOff>
      <row>37</row>
      <rowOff>1357313</rowOff>
    </to>
    <pic>
      <nvPicPr>
        <cNvPr id="16" name="Picture 1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6"/>
        <a:srcRect xmlns:a="http://schemas.openxmlformats.org/drawingml/2006/main" t="31833" b="31833"/>
        <a:stretch xmlns:a="http://schemas.openxmlformats.org/drawingml/2006/main">
          <a:fillRect/>
        </a:stretch>
      </blipFill>
      <spPr>
        <a:xfrm xmlns:a="http://schemas.openxmlformats.org/drawingml/2006/main">
          <a:off x="4200526" y="10453686"/>
          <a:ext cx="1607343" cy="129778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76200</colOff>
      <row>38</row>
      <rowOff>59531</rowOff>
    </from>
    <to>
      <col>9</col>
      <colOff>1683543</colOff>
      <row>38</row>
      <rowOff>1309687</rowOff>
    </to>
    <pic>
      <nvPicPr>
        <cNvPr id="19" name="Picture 18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7"/>
        <a:srcRect xmlns:a="http://schemas.openxmlformats.org/drawingml/2006/main" t="10500" b="26832"/>
        <a:stretch xmlns:a="http://schemas.openxmlformats.org/drawingml/2006/main">
          <a:fillRect/>
        </a:stretch>
      </blipFill>
      <spPr>
        <a:xfrm xmlns:a="http://schemas.openxmlformats.org/drawingml/2006/main">
          <a:off x="4195763" y="11846719"/>
          <a:ext cx="1607343" cy="125015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47624</colOff>
      <row>39</row>
      <rowOff>57150</rowOff>
    </from>
    <to>
      <col>9</col>
      <colOff>1714500</colOff>
      <row>39</row>
      <rowOff>1333500</rowOff>
    </to>
    <pic>
      <nvPicPr>
        <cNvPr id="20" name="Picture 19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8"/>
        <a:srcRect xmlns:a="http://schemas.openxmlformats.org/drawingml/2006/main" l="2511" r="13606"/>
        <a:stretch xmlns:a="http://schemas.openxmlformats.org/drawingml/2006/main">
          <a:fillRect/>
        </a:stretch>
      </blipFill>
      <spPr>
        <a:xfrm xmlns:a="http://schemas.openxmlformats.org/drawingml/2006/main">
          <a:off x="4167187" y="13237369"/>
          <a:ext cx="1666876" cy="1276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59532</colOff>
      <row>40</row>
      <rowOff>23812</rowOff>
    </from>
    <to>
      <col>9</col>
      <colOff>1726406</colOff>
      <row>40</row>
      <rowOff>1393031</rowOff>
    </to>
    <pic>
      <nvPicPr>
        <cNvPr id="22" name="Picture 2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9"/>
        <a:srcRect xmlns:a="http://schemas.openxmlformats.org/drawingml/2006/main" t="-766" b="6435"/>
        <a:stretch xmlns:a="http://schemas.openxmlformats.org/drawingml/2006/main">
          <a:fillRect/>
        </a:stretch>
      </blipFill>
      <spPr>
        <a:xfrm xmlns:a="http://schemas.openxmlformats.org/drawingml/2006/main">
          <a:off x="4179095" y="14597062"/>
          <a:ext cx="1666874" cy="13692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59532</colOff>
      <row>41</row>
      <rowOff>59530</rowOff>
    </from>
    <to>
      <col>9</col>
      <colOff>1666875</colOff>
      <row>41</row>
      <rowOff>1302545</rowOff>
    </to>
    <pic>
      <nvPicPr>
        <cNvPr id="24" name="Picture 23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10"/>
        <a:srcRect xmlns:a="http://schemas.openxmlformats.org/drawingml/2006/main" l="-1481" t="4435" r="1481" b="31766"/>
        <a:stretch xmlns:a="http://schemas.openxmlformats.org/drawingml/2006/main">
          <a:fillRect/>
        </a:stretch>
      </blipFill>
      <spPr>
        <a:xfrm xmlns:a="http://schemas.openxmlformats.org/drawingml/2006/main">
          <a:off x="4179095" y="16061530"/>
          <a:ext cx="1607343" cy="12430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59531</colOff>
      <row>42</row>
      <rowOff>57150</rowOff>
    </from>
    <to>
      <col>9</col>
      <colOff>1700214</colOff>
      <row>42</row>
      <rowOff>1297781</rowOff>
    </to>
    <pic>
      <nvPicPr>
        <cNvPr id="26" name="Picture 25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11"/>
        <a:srcRect xmlns:a="http://schemas.openxmlformats.org/drawingml/2006/main" l="9731" r="21658"/>
        <a:stretch xmlns:a="http://schemas.openxmlformats.org/drawingml/2006/main">
          <a:fillRect/>
        </a:stretch>
      </blipFill>
      <spPr>
        <a:xfrm xmlns:a="http://schemas.openxmlformats.org/drawingml/2006/main">
          <a:off x="4179094" y="17452181"/>
          <a:ext cx="1640683" cy="124063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59530</colOff>
      <row>43</row>
      <rowOff>59532</rowOff>
    </from>
    <to>
      <col>9</col>
      <colOff>1676399</colOff>
      <row>43</row>
      <rowOff>1357312</rowOff>
    </to>
    <pic>
      <nvPicPr>
        <cNvPr id="28" name="Picture 27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12"/>
        <a:srcRect xmlns:a="http://schemas.openxmlformats.org/drawingml/2006/main" l="-736" t="17997" r="736" b="11561"/>
        <a:stretch xmlns:a="http://schemas.openxmlformats.org/drawingml/2006/main">
          <a:fillRect/>
        </a:stretch>
      </blipFill>
      <spPr>
        <a:xfrm xmlns:a="http://schemas.openxmlformats.org/drawingml/2006/main">
          <a:off x="4179093" y="18847595"/>
          <a:ext cx="1616869" cy="129778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57150</colOff>
      <row>44</row>
      <rowOff>45243</rowOff>
    </from>
    <to>
      <col>9</col>
      <colOff>1714499</colOff>
      <row>44</row>
      <rowOff>1335882</rowOff>
    </to>
    <pic>
      <nvPicPr>
        <cNvPr id="30" name="Picture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3"/>
        <a:srcRect xmlns:a="http://schemas.openxmlformats.org/drawingml/2006/main" l="21107" r="21107"/>
        <a:stretch xmlns:a="http://schemas.openxmlformats.org/drawingml/2006/main">
          <a:fillRect/>
        </a:stretch>
      </blipFill>
      <spPr>
        <a:xfrm xmlns:a="http://schemas.openxmlformats.org/drawingml/2006/main">
          <a:off x="4176713" y="20226337"/>
          <a:ext cx="1657349" cy="12906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59533</colOff>
      <row>35</row>
      <rowOff>59530</rowOff>
    </from>
    <to>
      <col>10</col>
      <colOff>1678781</colOff>
      <row>35</row>
      <rowOff>1333499</rowOff>
    </to>
    <pic>
      <nvPicPr>
        <cNvPr id="55" name="Picture 54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14"/>
        <a:srcRect xmlns:a="http://schemas.openxmlformats.org/drawingml/2006/main" t="34906" r="10870" b="18868"/>
        <a:stretch xmlns:a="http://schemas.openxmlformats.org/drawingml/2006/main">
          <a:fillRect/>
        </a:stretch>
      </blipFill>
      <spPr>
        <a:xfrm xmlns:a="http://schemas.openxmlformats.org/drawingml/2006/main">
          <a:off x="5941221" y="7667624"/>
          <a:ext cx="1619248" cy="12739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107156</colOff>
      <row>36</row>
      <rowOff>59532</rowOff>
    </from>
    <to>
      <col>10</col>
      <colOff>1690687</colOff>
      <row>36</row>
      <rowOff>1333500</rowOff>
    </to>
    <pic>
      <nvPicPr>
        <cNvPr id="56" name="Picture 55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5"/>
        <a:srcRect xmlns:a="http://schemas.openxmlformats.org/drawingml/2006/main" t="32467" r="31851" b="40533"/>
        <a:stretch xmlns:a="http://schemas.openxmlformats.org/drawingml/2006/main">
          <a:fillRect/>
        </a:stretch>
      </blipFill>
      <spPr>
        <a:xfrm xmlns:a="http://schemas.openxmlformats.org/drawingml/2006/main">
          <a:off x="5988844" y="9060657"/>
          <a:ext cx="1583531" cy="127396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83344</colOff>
      <row>37</row>
      <rowOff>92867</rowOff>
    </from>
    <to>
      <col>10</col>
      <colOff>1652149</colOff>
      <row>37</row>
      <rowOff>1285874</rowOff>
    </to>
    <pic>
      <nvPicPr>
        <cNvPr id="57" name="Picture 56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6"/>
        <a:srcRect xmlns:a="http://schemas.openxmlformats.org/drawingml/2006/main" l="18815" t="31833" r="4889" b="43099"/>
        <a:stretch xmlns:a="http://schemas.openxmlformats.org/drawingml/2006/main">
          <a:fillRect/>
        </a:stretch>
      </blipFill>
      <spPr>
        <a:xfrm xmlns:a="http://schemas.openxmlformats.org/drawingml/2006/main">
          <a:off x="5965032" y="10487023"/>
          <a:ext cx="1568805" cy="119300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73818</colOff>
      <row>38</row>
      <rowOff>57150</rowOff>
    </from>
    <to>
      <col>10</col>
      <colOff>1702593</colOff>
      <row>38</row>
      <rowOff>1307306</rowOff>
    </to>
    <pic>
      <nvPicPr>
        <cNvPr id="62" name="Picture 6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17"/>
        <a:srcRect xmlns:a="http://schemas.openxmlformats.org/drawingml/2006/main" l="3704" t="31389" r="-3704" b="5943"/>
        <a:stretch xmlns:a="http://schemas.openxmlformats.org/drawingml/2006/main">
          <a:fillRect/>
        </a:stretch>
      </blipFill>
      <spPr>
        <a:xfrm xmlns:a="http://schemas.openxmlformats.org/drawingml/2006/main">
          <a:off x="5955506" y="11844338"/>
          <a:ext cx="1628775" cy="125015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71435</colOff>
      <row>39</row>
      <rowOff>83344</rowOff>
    </from>
    <to>
      <col>10</col>
      <colOff>1690687</colOff>
      <row>39</row>
      <rowOff>1309687</rowOff>
    </to>
    <pic>
      <nvPicPr>
        <cNvPr id="63" name="Picture 6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18"/>
        <a:srcRect xmlns:a="http://schemas.openxmlformats.org/drawingml/2006/main" l="21085" r="13606" b="19791"/>
        <a:stretch xmlns:a="http://schemas.openxmlformats.org/drawingml/2006/main">
          <a:fillRect/>
        </a:stretch>
      </blipFill>
      <spPr>
        <a:xfrm xmlns:a="http://schemas.openxmlformats.org/drawingml/2006/main">
          <a:off x="5953123" y="13263563"/>
          <a:ext cx="1619252" cy="12263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59532</colOff>
      <row>40</row>
      <rowOff>47625</rowOff>
    </from>
    <to>
      <col>10</col>
      <colOff>1702593</colOff>
      <row>40</row>
      <rowOff>1345406</rowOff>
    </to>
    <pic>
      <nvPicPr>
        <cNvPr id="64" name="Picture 63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19"/>
        <a:srcRect xmlns:a="http://schemas.openxmlformats.org/drawingml/2006/main" t="24663" r="14286" b="6435"/>
        <a:stretch xmlns:a="http://schemas.openxmlformats.org/drawingml/2006/main">
          <a:fillRect/>
        </a:stretch>
      </blipFill>
      <spPr>
        <a:xfrm xmlns:a="http://schemas.openxmlformats.org/drawingml/2006/main">
          <a:off x="5941220" y="14620875"/>
          <a:ext cx="1643061" cy="129778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83343</colOff>
      <row>41</row>
      <rowOff>57148</rowOff>
    </from>
    <to>
      <col>10</col>
      <colOff>1690687</colOff>
      <row>41</row>
      <rowOff>1300163</rowOff>
    </to>
    <pic>
      <nvPicPr>
        <cNvPr id="65" name="Picture 64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20"/>
        <a:srcRect xmlns:a="http://schemas.openxmlformats.org/drawingml/2006/main" l="24593" t="25823" r="-2223" b="10378"/>
        <a:stretch xmlns:a="http://schemas.openxmlformats.org/drawingml/2006/main">
          <a:fillRect/>
        </a:stretch>
      </blipFill>
      <spPr>
        <a:xfrm xmlns:a="http://schemas.openxmlformats.org/drawingml/2006/main">
          <a:off x="5965031" y="16059148"/>
          <a:ext cx="1607344" cy="12430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95248</colOff>
      <row>42</row>
      <rowOff>66674</rowOff>
    </from>
    <to>
      <col>10</col>
      <colOff>1678780</colOff>
      <row>42</row>
      <rowOff>1307305</rowOff>
    </to>
    <pic>
      <nvPicPr>
        <cNvPr id="66" name="Picture 65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21"/>
        <a:srcRect xmlns:a="http://schemas.openxmlformats.org/drawingml/2006/main" l="33730" r="21657"/>
        <a:stretch xmlns:a="http://schemas.openxmlformats.org/drawingml/2006/main">
          <a:fillRect/>
        </a:stretch>
      </blipFill>
      <spPr>
        <a:xfrm xmlns:a="http://schemas.openxmlformats.org/drawingml/2006/main">
          <a:off x="5976936" y="17461705"/>
          <a:ext cx="1583532" cy="124063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69054</colOff>
      <row>43</row>
      <rowOff>69056</rowOff>
    </from>
    <to>
      <col>10</col>
      <colOff>1685923</colOff>
      <row>43</row>
      <rowOff>1285873</rowOff>
    </to>
    <pic>
      <nvPicPr>
        <cNvPr id="67" name="Picture 66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22"/>
        <a:srcRect xmlns:a="http://schemas.openxmlformats.org/drawingml/2006/main" l="-736" t="17997" r="736" b="30174"/>
        <a:stretch xmlns:a="http://schemas.openxmlformats.org/drawingml/2006/main">
          <a:fillRect/>
        </a:stretch>
      </blipFill>
      <spPr>
        <a:xfrm xmlns:a="http://schemas.openxmlformats.org/drawingml/2006/main">
          <a:off x="5950742" y="18857119"/>
          <a:ext cx="1616869" cy="121681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59532</colOff>
      <row>44</row>
      <rowOff>95250</rowOff>
    </from>
    <to>
      <col>10</col>
      <colOff>1716881</colOff>
      <row>44</row>
      <rowOff>1333500</rowOff>
    </to>
    <pic>
      <nvPicPr>
        <cNvPr id="68" name="Picture 67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23"/>
        <a:srcRect xmlns:a="http://schemas.openxmlformats.org/drawingml/2006/main" l="31900" t="19372" r="10314" b="-922"/>
        <a:stretch xmlns:a="http://schemas.openxmlformats.org/drawingml/2006/main">
          <a:fillRect/>
        </a:stretch>
      </blipFill>
      <spPr>
        <a:xfrm xmlns:a="http://schemas.openxmlformats.org/drawingml/2006/main">
          <a:off x="5941220" y="20276344"/>
          <a:ext cx="1657349" cy="12382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3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uhammad Saad" refreshedDate="45974.61960034722" createdVersion="8" refreshedVersion="8" minRefreshableVersion="3" recordCount="25" r:id="rId1">
  <cacheSource type="worksheet">
    <worksheetSource ref="AL2:AM27" sheet="Product Audit Final "/>
  </cacheSource>
  <cacheFields count="2">
    <cacheField name="Defect Category" uniqueList="1" numFmtId="0" sqlType="0" hierarchy="0" level="0" databaseField="1">
      <sharedItems count="20" containsBlank="1">
        <s v="Over Tightening"/>
        <s v="Looseness"/>
        <s v="Scratch"/>
        <s v="Rust"/>
        <s v="Improperly installed"/>
        <s v="Weld Spot Burr"/>
        <s v="Weld Spot Miss"/>
        <s v="Sag"/>
        <s v="Run"/>
        <s v="Dent"/>
        <s v="Bump"/>
        <s v="Spot Miss"/>
        <s v="Seepage"/>
        <s v="Leakage"/>
        <s v="Crater"/>
        <s v="Thin Paint"/>
        <s v="Part Miss"/>
        <s v="Routing Wrong"/>
        <m/>
        <s v="Other"/>
      </sharedItems>
    </cacheField>
    <cacheField name="QTY" uniqueList="1" numFmtId="0" sqlType="0" hierarchy="0" level="0" databaseField="1">
      <sharedItems count="0" containsInteger="1" containsNumber="1" containsSemiMixedTypes="0" containsString="0" minValue="0" maxValue="8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Muhammad Saad" refreshedDate="45974.6316650463" createdVersion="8" refreshedVersion="8" minRefreshableVersion="3" recordCount="223" r:id="rId1">
  <cacheSource type="worksheet">
    <worksheetSource ref="AL32:AL255" sheet="Product Audit Final "/>
  </cacheSource>
  <cacheFields count="1">
    <cacheField name="0" uniqueList="1" numFmtId="0" sqlType="0" hierarchy="0" level="0" databaseField="1">
      <sharedItems count="9" containsBlank="1">
        <s v="Responsible Section"/>
        <m/>
        <s v="Weld Shop"/>
        <s v="Paint Shop"/>
        <s v="Assembly Shop"/>
        <s v="Tester Line"/>
        <s v="Final Confirmation"/>
        <s v="QA Receiving"/>
        <s v="CKD"/>
      </sharedItems>
    </cacheField>
  </cacheFields>
</pivotCacheDefinition>
</file>

<file path=xl/pivotCache/pivotCacheDefinition3.xml><?xml version="1.0" encoding="utf-8"?>
<pivotCacheDefinition xmlns:r="http://schemas.openxmlformats.org/officeDocument/2006/relationships" xmlns="http://schemas.openxmlformats.org/spreadsheetml/2006/main" refreshedBy="Komatsu, Toshiyuki (575)" refreshedDate="43430.6720988426" createdVersion="5" refreshedVersion="5" minRefreshableVersion="3" recordCount="60" r:id="rId1">
  <cacheSource type="worksheet">
    <worksheetSource ref="G35:AN255" sheet="Product Audit Final "/>
  </cacheSource>
  <cacheFields count="24">
    <cacheField name="Class" uniqueList="1" numFmtId="0" sqlType="0" hierarchy="0" level="0" databaseField="1">
      <sharedItems count="0" containsBlank="1"/>
    </cacheField>
    <cacheField name="Resp" uniqueList="1" numFmtId="0" sqlType="0" hierarchy="0" level="0" databaseField="1">
      <sharedItems count="0" containsBlank="1" containsNonDate="0" containsString="0"/>
    </cacheField>
    <cacheField name="Count" uniqueList="1" numFmtId="0" sqlType="0" hierarchy="0" level="0" databaseField="1">
      <sharedItems count="7" containsInteger="1" containsNumber="1" containsSemiMixedTypes="0" containsString="0" minValue="0" maxValue="6">
        <n v="2"/>
        <n v="0"/>
        <n v="6" u="1"/>
        <n v="3" u="1"/>
        <n v="4" u="1"/>
        <n v="1" u="1"/>
        <n v="5" u="1"/>
      </sharedItems>
    </cacheField>
    <cacheField name="P1" uniqueList="1" numFmtId="0" sqlType="0" hierarchy="0" level="0" databaseField="1">
      <sharedItems count="0" containsBlank="1" containsNonDate="0" containsString="0"/>
    </cacheField>
    <cacheField name="P2" uniqueList="1" numFmtId="0" sqlType="0" hierarchy="0" level="0" databaseField="1">
      <sharedItems count="0" containsBlank="1" containsNonDate="0" containsString="0"/>
    </cacheField>
    <cacheField name="1" uniqueList="1" numFmtId="0" sqlType="0" hierarchy="0" level="0" databaseField="1">
      <sharedItems count="0" containsBlank="1"/>
    </cacheField>
    <cacheField name="2" uniqueList="1" numFmtId="0" sqlType="0" hierarchy="0" level="0" databaseField="1">
      <sharedItems count="0" containsBlank="1"/>
    </cacheField>
    <cacheField name="3" uniqueList="1" numFmtId="0" sqlType="0" hierarchy="0" level="0" databaseField="1">
      <sharedItems count="0" containsBlank="1" containsNonDate="0" containsString="0"/>
    </cacheField>
    <cacheField name="4" uniqueList="1" numFmtId="0" sqlType="0" hierarchy="0" level="0" databaseField="1">
      <sharedItems count="0" containsBlank="1" containsNonDate="0" containsString="0"/>
    </cacheField>
    <cacheField name="5" uniqueList="1" numFmtId="0" sqlType="0" hierarchy="0" level="0" databaseField="1">
      <sharedItems count="0" containsBlank="1" containsNonDate="0" containsString="0"/>
    </cacheField>
    <cacheField name="6" uniqueList="1" numFmtId="0" sqlType="0" hierarchy="0" level="0" databaseField="1">
      <sharedItems count="0" containsBlank="1" containsNonDate="0" containsString="0"/>
    </cacheField>
    <cacheField name="7" uniqueList="1" numFmtId="0" sqlType="0" hierarchy="0" level="0" databaseField="1">
      <sharedItems count="0" containsBlank="1" containsNonDate="0" containsString="0"/>
    </cacheField>
    <cacheField name="8" uniqueList="1" numFmtId="0" sqlType="0" hierarchy="0" level="0" databaseField="1">
      <sharedItems count="0" containsBlank="1" containsNonDate="0" containsString="0"/>
    </cacheField>
    <cacheField name="9" uniqueList="1" numFmtId="0" sqlType="0" hierarchy="0" level="0" databaseField="1">
      <sharedItems count="0" containsBlank="1" containsNonDate="0" containsString="0"/>
    </cacheField>
    <cacheField name="10" uniqueList="1" numFmtId="0" sqlType="0" hierarchy="0" level="0" databaseField="1">
      <sharedItems count="0" containsBlank="1" containsNonDate="0" containsString="0"/>
    </cacheField>
    <cacheField name="11" uniqueList="1" numFmtId="0" sqlType="0" hierarchy="0" level="0" databaseField="1">
      <sharedItems count="0" containsBlank="1" containsNonDate="0" containsString="0"/>
    </cacheField>
    <cacheField name="12" uniqueList="1" numFmtId="0" sqlType="0" hierarchy="0" level="0" databaseField="1">
      <sharedItems count="0" containsBlank="1" containsNonDate="0" containsString="0"/>
    </cacheField>
    <cacheField name="13" uniqueList="1" numFmtId="0" sqlType="0" hierarchy="0" level="0" databaseField="1">
      <sharedItems count="0" containsBlank="1" containsNonDate="0" containsString="0"/>
    </cacheField>
    <cacheField name="14" uniqueList="1" numFmtId="0" sqlType="0" hierarchy="0" level="0" databaseField="1">
      <sharedItems count="0" containsBlank="1" containsNonDate="0" containsString="0"/>
    </cacheField>
    <cacheField name="15" uniqueList="1" numFmtId="0" sqlType="0" hierarchy="0" level="0" databaseField="1">
      <sharedItems count="0" containsBlank="1" containsNonDate="0" containsString="0"/>
    </cacheField>
    <cacheField name="subtotal" uniqueList="1" numFmtId="0" sqlType="0" hierarchy="0" level="0" databaseField="1">
      <sharedItems count="0" containsInteger="1" containsNumber="1" containsSemiMixedTypes="0" containsString="0" minValue="0" maxValue="2"/>
    </cacheField>
    <cacheField name="Effect" uniqueList="1" numFmtId="0" sqlType="0" hierarchy="0" level="0" databaseField="1">
      <sharedItems count="0" containsBlank="1" containsNonDate="0" containsString="0"/>
    </cacheField>
    <cacheField name="Defect type" uniqueList="1" numFmtId="0" sqlType="0" hierarchy="0" level="0" databaseField="1">
      <sharedItems count="0" containsBlank="1" containsNonDate="0" containsString="0"/>
    </cacheField>
    <cacheField name="Category" uniqueList="1" numFmtId="0" sqlType="0" hierarchy="0" level="0" databaseField="1">
      <sharedItems count="9" containsBlank="1">
        <s v="合い沿い/Fitting"/>
        <m/>
        <s v="締付け/Tightening" u="1"/>
        <s v="キズ/Scratch" u="1"/>
        <s v="取付不良(欠品・異品)/Improperly installed" u="1"/>
        <s v="機能不良/Malfunction" u="1"/>
        <s v="配線・配管/Wiring・Piping" u="1"/>
        <s v="部品不良/Parts damage" u="1"/>
        <s v="塗装不良/Painting" u="1"/>
      </sharedItems>
    </cacheField>
  </cacheFields>
</pivotCacheDefinition>
</file>

<file path=xl/pivotCache/pivotCacheRecords1.xml><?xml version="1.0" encoding="utf-8"?>
<pivotCacheRecords xmlns="http://schemas.openxmlformats.org/spreadsheetml/2006/main" count="25">
  <r>
    <x v="0"/>
    <n v="4"/>
  </r>
  <r>
    <x v="1"/>
    <n v="0"/>
  </r>
  <r>
    <x v="2"/>
    <n v="0"/>
  </r>
  <r>
    <x v="3"/>
    <n v="4"/>
  </r>
  <r>
    <x v="4"/>
    <n v="0"/>
  </r>
  <r>
    <x v="5"/>
    <n v="0"/>
  </r>
  <r>
    <x v="6"/>
    <n v="0"/>
  </r>
  <r>
    <x v="7"/>
    <n v="0"/>
  </r>
  <r>
    <x v="8"/>
    <n v="0"/>
  </r>
  <r>
    <x v="9"/>
    <n v="0"/>
  </r>
  <r>
    <x v="10"/>
    <n v="0"/>
  </r>
  <r>
    <x v="11"/>
    <n v="0"/>
  </r>
  <r>
    <x v="12"/>
    <n v="0"/>
  </r>
  <r>
    <x v="13"/>
    <n v="0"/>
  </r>
  <r>
    <x v="14"/>
    <n v="0"/>
  </r>
  <r>
    <x v="15"/>
    <n v="0"/>
  </r>
  <r>
    <x v="16"/>
    <n v="0"/>
  </r>
  <r>
    <x v="17"/>
    <n v="0"/>
  </r>
  <r>
    <x v="18"/>
    <n v="0"/>
  </r>
  <r>
    <x v="18"/>
    <n v="0"/>
  </r>
  <r>
    <x v="18"/>
    <n v="0"/>
  </r>
  <r>
    <x v="18"/>
    <n v="0"/>
  </r>
  <r>
    <x v="18"/>
    <n v="0"/>
  </r>
  <r>
    <x v="18"/>
    <n v="0"/>
  </r>
  <r>
    <x v="19"/>
    <n v="8"/>
  </r>
</pivotCacheRecords>
</file>

<file path=xl/pivotCache/pivotCacheRecords2.xml><?xml version="1.0" encoding="utf-8"?>
<pivotCacheRecords xmlns="http://schemas.openxmlformats.org/spreadsheetml/2006/main" count="25">
  <r>
    <x v="0"/>
    <n v="4"/>
  </r>
  <r>
    <x v="1"/>
    <n v="0"/>
  </r>
  <r>
    <x v="2"/>
    <n v="0"/>
  </r>
  <r>
    <x v="3"/>
    <n v="4"/>
  </r>
  <r>
    <x v="4"/>
    <n v="0"/>
  </r>
  <r>
    <x v="5"/>
    <n v="0"/>
  </r>
  <r>
    <x v="6"/>
    <n v="0"/>
  </r>
  <r>
    <x v="7"/>
    <n v="0"/>
  </r>
  <r>
    <x v="8"/>
    <n v="0"/>
  </r>
  <r>
    <x v="9"/>
    <n v="0"/>
  </r>
  <r>
    <x v="10"/>
    <n v="0"/>
  </r>
  <r>
    <x v="11"/>
    <n v="0"/>
  </r>
  <r>
    <x v="12"/>
    <n v="0"/>
  </r>
  <r>
    <x v="13"/>
    <n v="0"/>
  </r>
  <r>
    <x v="14"/>
    <n v="0"/>
  </r>
  <r>
    <x v="15"/>
    <n v="0"/>
  </r>
  <r>
    <x v="16"/>
    <n v="0"/>
  </r>
  <r>
    <x v="17"/>
    <n v="0"/>
  </r>
  <r>
    <x v="18"/>
    <n v="0"/>
  </r>
  <r>
    <x v="18"/>
    <n v="0"/>
  </r>
  <r>
    <x v="18"/>
    <n v="0"/>
  </r>
  <r>
    <x v="18"/>
    <n v="0"/>
  </r>
  <r>
    <x v="18"/>
    <n v="0"/>
  </r>
  <r>
    <x v="18"/>
    <n v="0"/>
  </r>
  <r>
    <x v="19"/>
    <n v="8"/>
  </r>
</pivotCacheRecords>
</file>

<file path=xl/pivotCache/pivotCacheRecords3.xml><?xml version="1.0" encoding="utf-8"?>
<pivotCacheRecords xmlns="http://schemas.openxmlformats.org/spreadsheetml/2006/main" count="25">
  <r>
    <x v="0"/>
    <n v="4"/>
  </r>
  <r>
    <x v="1"/>
    <n v="0"/>
  </r>
  <r>
    <x v="2"/>
    <n v="0"/>
  </r>
  <r>
    <x v="3"/>
    <n v="4"/>
  </r>
  <r>
    <x v="4"/>
    <n v="0"/>
  </r>
  <r>
    <x v="5"/>
    <n v="0"/>
  </r>
  <r>
    <x v="6"/>
    <n v="0"/>
  </r>
  <r>
    <x v="7"/>
    <n v="0"/>
  </r>
  <r>
    <x v="8"/>
    <n v="0"/>
  </r>
  <r>
    <x v="9"/>
    <n v="0"/>
  </r>
  <r>
    <x v="10"/>
    <n v="0"/>
  </r>
  <r>
    <x v="11"/>
    <n v="0"/>
  </r>
  <r>
    <x v="12"/>
    <n v="0"/>
  </r>
  <r>
    <x v="13"/>
    <n v="0"/>
  </r>
  <r>
    <x v="14"/>
    <n v="0"/>
  </r>
  <r>
    <x v="15"/>
    <n v="0"/>
  </r>
  <r>
    <x v="16"/>
    <n v="0"/>
  </r>
  <r>
    <x v="17"/>
    <n v="0"/>
  </r>
  <r>
    <x v="18"/>
    <n v="0"/>
  </r>
  <r>
    <x v="18"/>
    <n v="0"/>
  </r>
  <r>
    <x v="18"/>
    <n v="0"/>
  </r>
  <r>
    <x v="18"/>
    <n v="0"/>
  </r>
  <r>
    <x v="18"/>
    <n v="0"/>
  </r>
  <r>
    <x v="18"/>
    <n v="0"/>
  </r>
  <r>
    <x v="19"/>
    <n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U3:V24" firstHeaderRow="1" firstDataRow="1" firstDataCol="1"/>
  <pivotFields count="2">
    <pivotField axis="axisRow" showDropDowns="1" compact="1" outline="1" subtotalTop="1" dragToRow="1" dragToCol="1" dragToPage="1" dragToData="1" dragOff="1" showAll="0" topAutoShow="1" itemPageCount="10" sortType="descending" defaultSubtotal="1">
      <items count="21">
        <item t="data" sd="1" x="10"/>
        <item t="data" sd="1" x="14"/>
        <item t="data" sd="1" x="9"/>
        <item t="data" sd="1" x="4"/>
        <item t="data" sd="1" x="13"/>
        <item t="data" sd="1" x="1"/>
        <item t="data" sd="1" x="19"/>
        <item t="data" sd="1" x="0"/>
        <item t="data" sd="1" x="16"/>
        <item t="data" sd="1" x="17"/>
        <item t="data" sd="1" x="8"/>
        <item t="data" sd="1" x="3"/>
        <item t="data" sd="1" x="7"/>
        <item t="data" sd="1" x="2"/>
        <item t="data" sd="1" x="12"/>
        <item t="data" sd="1" x="11"/>
        <item t="data" sd="1" x="15"/>
        <item t="data" sd="1" x="5"/>
        <item t="data" sd="1" x="6"/>
        <item t="data" sd="1" x="18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1">
    <i t="data" r="0" i="0">
      <x v="6"/>
    </i>
    <i t="data" r="0" i="0">
      <x v="11"/>
    </i>
    <i t="data" r="0" i="0">
      <x v="7"/>
    </i>
    <i t="data" r="0" i="0">
      <x v="10"/>
    </i>
    <i t="data" r="0" i="0">
      <x v="14"/>
    </i>
    <i t="data" r="0" i="0">
      <x v="12"/>
    </i>
    <i t="data" r="0" i="0">
      <x v="4"/>
    </i>
    <i t="data" r="0" i="0">
      <x v="3"/>
    </i>
    <i t="data" r="0" i="0">
      <x v="5"/>
    </i>
    <i t="data" r="0" i="0">
      <x v="2"/>
    </i>
    <i t="data" r="0" i="0">
      <x v="1"/>
    </i>
    <i t="data" r="0" i="0">
      <x v="13"/>
    </i>
    <i t="data" r="0" i="0">
      <x v="16"/>
    </i>
    <i t="data" r="0" i="0">
      <x v="15"/>
    </i>
    <i t="data" r="0" i="0">
      <x v="17"/>
    </i>
    <i t="data" r="0" i="0">
      <x v="19"/>
    </i>
    <i t="data" r="0" i="0">
      <x v="18"/>
    </i>
    <i t="data" r="0" i="0">
      <x v="8"/>
    </i>
    <i t="data" r="0" i="0">
      <x v="0"/>
    </i>
    <i t="data" r="0" i="0">
      <x v="9"/>
    </i>
    <i t="grand" r="0" i="0">
      <x v="0"/>
    </i>
  </rowItems>
  <colItems count="1">
    <i t="data" r="0" i="0"/>
  </colItems>
  <dataFields count="1">
    <dataField name="Sum of QTY" fld="1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4" fieldListSortAscending="0" mdxSubqueries="0" applyNumberFormats="0" applyBorderFormats="0" applyFontFormats="0" applyPatternFormats="0" applyAlignmentFormats="0" applyWidthHeightFormats="1" r:id="rId1">
  <location ref="Y3:Z13" firstHeaderRow="1" firstDataRow="1" firstDataCol="1"/>
  <pivotFields count="1"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10">
        <item t="data" sd="1" x="4"/>
        <item t="data" sd="1" x="8"/>
        <item t="data" sd="1" x="6"/>
        <item t="data" sd="1" x="3"/>
        <item t="data" sd="1" x="7"/>
        <item t="data" sd="1" x="0"/>
        <item t="data" sd="1" x="5"/>
        <item t="data" sd="1" x="2"/>
        <item t="data" sd="1" x="1"/>
        <item t="default" sd="1"/>
      </items>
    </pivotField>
  </pivotFields>
  <rowFields count="1">
    <field x="0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rowItems>
  <colItems count="1">
    <i t="data" r="0" i="0"/>
  </colItems>
  <dataFields count="1">
    <dataField name="Count of 0" fld="0" subtotal="count" showDataAs="normal" baseField="0" baseItem="0"/>
  </dataFields>
  <chartFormats count="2">
    <chartFormat chart="0" format="0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3" format="2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ﾋﾟﾎﾞｯﾄﾃｰﾌﾞﾙ1" cacheId="0" dataOnRows="0" dataCaption="値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5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D7" firstHeaderRow="1" firstDataRow="2" firstDataCol="1"/>
  <pivotFields count="24"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8">
        <item t="data" sd="1" m="1" x="5"/>
        <item t="data" sd="1" x="0"/>
        <item t="data" sd="1" m="1" x="3"/>
        <item t="data" sd="1" m="1" x="4"/>
        <item t="data" sd="1" m="1" x="6"/>
        <item t="data" sd="1" m="1" x="2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">
        <item t="data" sd="1" m="1" x="3"/>
        <item t="data" sd="1" m="1" x="5"/>
        <item t="data" sd="1" x="0"/>
        <item t="data" sd="1" m="1" x="4"/>
        <item t="data" sd="1" m="1" x="2"/>
        <item t="data" sd="1" m="1" x="8"/>
        <item t="data" sd="1" m="1" x="6"/>
        <item t="data" sd="1" m="1" x="7"/>
        <item t="data" sd="1" x="1"/>
        <item t="default" sd="1"/>
      </items>
    </pivotField>
  </pivotFields>
  <rowFields count="1">
    <field x="23"/>
  </rowFields>
  <rowItems count="3">
    <i t="data" r="0" i="0">
      <x v="2"/>
    </i>
    <i t="data" r="0" i="0">
      <x v="8"/>
    </i>
    <i t="grand" r="0" i="0">
      <x v="0"/>
    </i>
  </rowItems>
  <colFields count="1">
    <field x="2"/>
  </colFields>
  <colItems count="3">
    <i t="data" r="0" i="0">
      <x v="1"/>
    </i>
    <i t="data" r="0" i="0">
      <x v="6"/>
    </i>
    <i t="grand" r="0" i="0">
      <x v="0"/>
    </i>
  </colItems>
  <dataFields count="1">
    <dataField name="データの個数 / Class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Relationship Type="http://schemas.openxmlformats.org/officeDocument/2006/relationships/pivotTable" Target="/xl/pivotTables/pivotTable3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280"/>
  <sheetViews>
    <sheetView view="pageBreakPreview" zoomScale="80" zoomScaleNormal="80" zoomScaleSheetLayoutView="80" workbookViewId="0">
      <selection activeCell="J13" sqref="J13"/>
    </sheetView>
  </sheetViews>
  <sheetFormatPr baseColWidth="8" defaultColWidth="9.125" defaultRowHeight="12"/>
  <cols>
    <col width="5.75" bestFit="1" customWidth="1" style="22" min="1" max="1"/>
    <col width="7" customWidth="1" style="22" min="2" max="2"/>
    <col width="4.625" customWidth="1" style="22" min="3" max="5"/>
    <col width="7.5" customWidth="1" style="22" min="6" max="6"/>
    <col width="6.625" customWidth="1" style="22" min="7" max="8"/>
    <col width="7.625" customWidth="1" style="22" min="9" max="9"/>
    <col width="23.125" customWidth="1" style="22" min="10" max="11"/>
    <col width="3.125" customWidth="1" style="53" min="12" max="17"/>
    <col width="3.125" customWidth="1" style="58" min="18" max="22"/>
    <col width="3.125" customWidth="1" style="53" min="23" max="26"/>
    <col width="3.125" customWidth="1" style="58" min="27" max="29"/>
    <col width="3.125" customWidth="1" style="53" min="30" max="36"/>
    <col width="3.375" customWidth="1" style="52" min="37" max="37"/>
    <col width="29.5" customWidth="1" style="52" min="38" max="38"/>
    <col width="11.5" customWidth="1" style="52" min="39" max="39"/>
    <col width="24.875" customWidth="1" style="52" min="40" max="40"/>
    <col width="17.25" bestFit="1" customWidth="1" style="52" min="41" max="41"/>
    <col width="19.75" customWidth="1" style="52" min="42" max="42"/>
    <col width="14.375" bestFit="1" customWidth="1" style="52" min="43" max="43"/>
    <col width="10.5" bestFit="1" customWidth="1" style="52" min="44" max="44"/>
    <col width="9.125" customWidth="1" style="52" min="45" max="46"/>
    <col width="9.125" customWidth="1" style="22" min="47" max="16384"/>
  </cols>
  <sheetData>
    <row r="1" ht="36.75" customHeight="1" s="110" thickBot="1">
      <c r="A1" s="47" t="inlineStr">
        <is>
          <t>(1)PRODUCT AUDIT RESULT</t>
        </is>
      </c>
      <c r="B1" s="48" t="n"/>
      <c r="C1" s="48" t="n"/>
      <c r="D1" s="48" t="n"/>
      <c r="E1" s="48" t="n"/>
      <c r="F1" s="48" t="n"/>
      <c r="G1" s="48" t="n"/>
      <c r="H1" s="25" t="inlineStr">
        <is>
          <t>(15-june-2026 to 20-june-2026)</t>
        </is>
      </c>
      <c r="I1" s="25" t="n"/>
      <c r="J1" s="25" t="n"/>
      <c r="K1" s="48" t="inlineStr">
        <is>
          <t>By:Taha Shahid &amp; Owais Ahmed   FMM QM</t>
        </is>
      </c>
      <c r="L1" s="48" t="n"/>
      <c r="M1" s="49" t="n"/>
      <c r="N1" s="49" t="n"/>
      <c r="O1" s="49" t="n"/>
      <c r="P1" s="49" t="n"/>
      <c r="Q1" s="50" t="n"/>
      <c r="R1" s="50" t="n"/>
      <c r="S1" s="50" t="n"/>
      <c r="T1" s="50" t="n"/>
      <c r="U1" s="50" t="n"/>
      <c r="V1" s="50" t="n"/>
      <c r="W1" s="25" t="n"/>
      <c r="X1" s="50" t="n"/>
      <c r="Y1" s="50" t="n"/>
      <c r="Z1" s="50" t="n"/>
      <c r="AA1" s="50" t="n"/>
      <c r="AB1" s="50" t="n"/>
      <c r="AC1" s="50" t="n"/>
      <c r="AD1" s="50" t="n"/>
      <c r="AE1" s="50" t="n"/>
      <c r="AF1" s="50" t="n"/>
      <c r="AG1" s="50" t="n"/>
      <c r="AH1" s="50" t="n"/>
      <c r="AI1" s="50" t="n"/>
      <c r="AJ1" s="50" t="n"/>
      <c r="AK1" s="50" t="n"/>
      <c r="AL1" s="22" t="n"/>
      <c r="AM1" s="22" t="n"/>
      <c r="AN1" s="22" t="n"/>
      <c r="AO1" s="22" t="n"/>
      <c r="AP1" s="22" t="n"/>
      <c r="AQ1" s="22" t="n"/>
      <c r="AR1" s="22" t="n"/>
      <c r="AS1" s="22" t="n"/>
      <c r="AT1" s="22" t="n"/>
    </row>
    <row r="2" ht="16.15" customHeight="1" s="110" thickBot="1">
      <c r="A2" s="29" t="inlineStr">
        <is>
          <t>A+B</t>
        </is>
      </c>
      <c r="B2" s="30" t="inlineStr">
        <is>
          <t>Vehicle</t>
        </is>
      </c>
      <c r="C2" s="31" t="inlineStr">
        <is>
          <t>A</t>
        </is>
      </c>
      <c r="D2" s="31" t="inlineStr">
        <is>
          <t>B</t>
        </is>
      </c>
      <c r="E2" s="31" t="inlineStr">
        <is>
          <t>C</t>
        </is>
      </c>
      <c r="F2" s="30" t="inlineStr">
        <is>
          <t>D</t>
        </is>
      </c>
      <c r="G2" s="30" t="inlineStr">
        <is>
          <t>Total</t>
        </is>
      </c>
      <c r="H2" s="51" t="inlineStr">
        <is>
          <t>Date</t>
        </is>
      </c>
      <c r="I2" s="184" t="n"/>
      <c r="J2" s="51" t="inlineStr">
        <is>
          <t>Model</t>
        </is>
      </c>
      <c r="K2" s="51" t="inlineStr">
        <is>
          <t>Chassis No</t>
        </is>
      </c>
      <c r="L2" s="22" t="n"/>
      <c r="M2" s="173" t="inlineStr">
        <is>
          <t>Defect Type</t>
        </is>
      </c>
      <c r="N2" s="185" t="n"/>
      <c r="O2" s="185" t="n"/>
      <c r="P2" s="185" t="n"/>
      <c r="Q2" s="185" t="n"/>
      <c r="R2" s="186" t="inlineStr">
        <is>
          <t>QTY</t>
        </is>
      </c>
      <c r="S2" s="187" t="n"/>
      <c r="T2" s="52" t="n"/>
      <c r="U2" s="52" t="n"/>
      <c r="V2" s="52" t="n"/>
      <c r="W2" s="52" t="n"/>
      <c r="X2" s="52" t="n"/>
      <c r="Y2" s="52" t="n"/>
      <c r="Z2" s="52" t="n"/>
      <c r="AA2" s="52" t="n"/>
      <c r="AB2" s="52" t="n"/>
      <c r="AC2" s="52" t="n"/>
      <c r="AD2" s="52" t="n"/>
      <c r="AE2" s="52" t="n"/>
      <c r="AF2" s="52" t="n"/>
      <c r="AG2" s="52" t="n"/>
      <c r="AH2" s="52" t="n"/>
      <c r="AI2" s="52" t="n"/>
      <c r="AJ2" s="52" t="n"/>
      <c r="AL2" s="85" t="inlineStr">
        <is>
          <t>Defect Category</t>
        </is>
      </c>
      <c r="AM2" s="86" t="inlineStr">
        <is>
          <t>QTY</t>
        </is>
      </c>
      <c r="AN2" s="22" t="n"/>
      <c r="AO2" s="22" t="n"/>
      <c r="AP2" s="22" t="n"/>
      <c r="AQ2" s="22" t="n"/>
      <c r="AR2" s="22" t="n"/>
      <c r="AS2" s="22" t="n"/>
      <c r="AT2" s="22" t="n"/>
      <c r="AV2" s="22">
        <f>IF(G3&lt;&gt;0,1,0)</f>
        <v/>
      </c>
      <c r="AW2" s="84" t="n"/>
    </row>
    <row r="3" ht="15" customHeight="1" s="110" thickBot="1">
      <c r="A3" s="32">
        <f>C3+D3</f>
        <v/>
      </c>
      <c r="B3" s="33" t="inlineStr">
        <is>
          <t>＃1</t>
        </is>
      </c>
      <c r="C3" s="33">
        <f>COUNTIF(L$36:L$255,"A")</f>
        <v/>
      </c>
      <c r="D3" s="33">
        <f>COUNTIF(L$36:L$255,"B")</f>
        <v/>
      </c>
      <c r="E3" s="33" t="n">
        <v>1</v>
      </c>
      <c r="F3" s="33" t="n">
        <v>1</v>
      </c>
      <c r="G3" s="96">
        <f>SUM(C3:F3)</f>
        <v/>
      </c>
      <c r="H3" s="188" t="n">
        <v>46216</v>
      </c>
      <c r="I3" s="189" t="n"/>
      <c r="J3" s="3" t="inlineStr">
        <is>
          <t>Canter</t>
        </is>
      </c>
      <c r="K3" s="26" t="inlineStr">
        <is>
          <t>MMC-04-CN04530</t>
        </is>
      </c>
      <c r="M3" s="87" t="inlineStr">
        <is>
          <t>Safety</t>
        </is>
      </c>
      <c r="N3" s="190" t="n"/>
      <c r="O3" s="190" t="n"/>
      <c r="P3" s="190" t="n"/>
      <c r="Q3" s="191" t="n"/>
      <c r="R3" s="157" t="n">
        <v>0</v>
      </c>
      <c r="S3" s="191" t="n"/>
      <c r="T3" s="52" t="n"/>
      <c r="U3" s="52" t="n"/>
      <c r="V3" s="52" t="n"/>
      <c r="W3" s="52" t="n"/>
      <c r="X3" s="52" t="n"/>
      <c r="Y3" s="52" t="n"/>
      <c r="Z3" s="52" t="n"/>
      <c r="AA3" s="52" t="n"/>
      <c r="AB3" s="52" t="n"/>
      <c r="AC3" s="52" t="n"/>
      <c r="AD3" s="52" t="n"/>
      <c r="AE3" s="52" t="n"/>
      <c r="AF3" s="52" t="n"/>
      <c r="AG3" s="52" t="n"/>
      <c r="AH3" s="52" t="n"/>
      <c r="AI3" s="52" t="n"/>
      <c r="AJ3" s="52" t="n"/>
      <c r="AL3" s="87" t="inlineStr">
        <is>
          <t>Over Tightening</t>
        </is>
      </c>
      <c r="AM3" s="88">
        <f>COUNTIF(AN$36:AN$255,AL3)</f>
        <v/>
      </c>
      <c r="AN3" s="22" t="n"/>
      <c r="AO3" s="22" t="n"/>
      <c r="AP3" s="22" t="n"/>
      <c r="AQ3" s="22" t="n"/>
      <c r="AR3" s="22" t="n"/>
      <c r="AS3" s="22" t="n"/>
      <c r="AT3" s="22" t="n"/>
      <c r="AV3" s="22">
        <f>IF(G4&lt;&gt;0,1,0)</f>
        <v/>
      </c>
      <c r="AW3" s="84" t="n"/>
    </row>
    <row r="4" ht="15" customHeight="1" s="110" thickBot="1">
      <c r="A4" s="34">
        <f>C4+D4</f>
        <v/>
      </c>
      <c r="B4" s="35" t="inlineStr">
        <is>
          <t>＃2</t>
        </is>
      </c>
      <c r="C4" s="35" t="n">
        <v>0</v>
      </c>
      <c r="D4" s="35">
        <f>COUNTIF(M$36:M$255,"B")</f>
        <v/>
      </c>
      <c r="E4" s="33" t="n">
        <v>4</v>
      </c>
      <c r="F4" s="35">
        <f>COUNTIF(M$36:M$255,"D")</f>
        <v/>
      </c>
      <c r="G4" s="97">
        <f>SUM(C4:F4)</f>
        <v/>
      </c>
      <c r="H4" s="188" t="n">
        <v>46219</v>
      </c>
      <c r="I4" s="189" t="n"/>
      <c r="J4" s="3" t="inlineStr">
        <is>
          <t>Shacman</t>
        </is>
      </c>
      <c r="K4" s="26" t="inlineStr">
        <is>
          <t>NKM117LKDT5000001</t>
        </is>
      </c>
      <c r="L4" s="54" t="n"/>
      <c r="M4" s="87" t="inlineStr">
        <is>
          <t>Functional</t>
        </is>
      </c>
      <c r="N4" s="190" t="n"/>
      <c r="O4" s="190" t="n"/>
      <c r="P4" s="190" t="n"/>
      <c r="Q4" s="191" t="n"/>
      <c r="R4" s="157" t="n">
        <v>2</v>
      </c>
      <c r="S4" s="191" t="n"/>
      <c r="T4" s="52" t="n"/>
      <c r="U4" s="52" t="n"/>
      <c r="V4" s="52" t="n"/>
      <c r="W4" s="52" t="n"/>
      <c r="X4" s="52" t="n"/>
      <c r="Y4" s="52" t="n"/>
      <c r="Z4" s="52" t="n"/>
      <c r="AA4" s="52" t="n"/>
      <c r="AB4" s="52" t="n"/>
      <c r="AC4" s="52" t="n"/>
      <c r="AD4" s="52" t="n"/>
      <c r="AE4" s="52" t="n"/>
      <c r="AF4" s="52" t="n"/>
      <c r="AG4" s="52" t="n"/>
      <c r="AH4" s="52" t="n"/>
      <c r="AI4" s="52" t="n"/>
      <c r="AJ4" s="52" t="n"/>
      <c r="AL4" s="87" t="inlineStr">
        <is>
          <t>Looseness</t>
        </is>
      </c>
      <c r="AM4" s="88">
        <f>COUNTIF(AN$36:AN$255,AL4)</f>
        <v/>
      </c>
      <c r="AN4" s="22" t="n"/>
      <c r="AO4" s="22" t="n"/>
      <c r="AP4" s="22" t="n"/>
      <c r="AQ4" s="22" t="n"/>
      <c r="AR4" s="22" t="n"/>
      <c r="AS4" s="22" t="n"/>
      <c r="AT4" s="22" t="n"/>
      <c r="AV4" s="22">
        <f>IF(G5&lt;&gt;0,1,0)</f>
        <v/>
      </c>
      <c r="AW4" s="84" t="n"/>
    </row>
    <row r="5" ht="15" customHeight="1" s="110" thickBot="1">
      <c r="A5" s="34">
        <f>C5+D5</f>
        <v/>
      </c>
      <c r="B5" s="35" t="inlineStr">
        <is>
          <t>＃3</t>
        </is>
      </c>
      <c r="C5" s="35">
        <f>COUNTIF(N$36:N$255,"A")</f>
        <v/>
      </c>
      <c r="D5" s="35" t="n">
        <v>0</v>
      </c>
      <c r="E5" s="33" t="n">
        <v>3</v>
      </c>
      <c r="F5" s="35">
        <f>COUNTIF(N$36:N$255,"D")</f>
        <v/>
      </c>
      <c r="G5" s="97">
        <f>SUM(C5:F5)</f>
        <v/>
      </c>
      <c r="H5" s="188" t="n">
        <v>46220</v>
      </c>
      <c r="I5" s="189" t="n"/>
      <c r="J5" s="3" t="inlineStr">
        <is>
          <t>Shacman</t>
        </is>
      </c>
      <c r="K5" s="26" t="inlineStr">
        <is>
          <t>NKM117LKDT5000003</t>
        </is>
      </c>
      <c r="L5" s="54" t="n"/>
      <c r="M5" s="87" t="inlineStr">
        <is>
          <t>Major Aesthetics</t>
        </is>
      </c>
      <c r="N5" s="190" t="n"/>
      <c r="O5" s="190" t="n"/>
      <c r="P5" s="190" t="n"/>
      <c r="Q5" s="191" t="n"/>
      <c r="R5" s="157" t="n">
        <v>1</v>
      </c>
      <c r="S5" s="191" t="n"/>
      <c r="T5" s="52" t="n"/>
      <c r="U5" s="52" t="n"/>
      <c r="V5" s="52" t="n"/>
      <c r="W5" s="52" t="n"/>
      <c r="X5" s="52" t="n"/>
      <c r="Y5" s="52" t="n"/>
      <c r="Z5" s="52" t="n"/>
      <c r="AA5" s="52" t="n"/>
      <c r="AB5" s="52" t="n"/>
      <c r="AC5" s="52" t="n"/>
      <c r="AD5" s="52" t="n"/>
      <c r="AE5" s="52" t="n"/>
      <c r="AF5" s="52" t="n"/>
      <c r="AG5" s="52" t="n"/>
      <c r="AH5" s="52" t="n"/>
      <c r="AI5" s="52" t="n"/>
      <c r="AJ5" s="52" t="n"/>
      <c r="AL5" s="87" t="inlineStr">
        <is>
          <t>Scratch</t>
        </is>
      </c>
      <c r="AM5" s="88">
        <f>COUNTIF(AN$36:AN$255,AL5)</f>
        <v/>
      </c>
      <c r="AN5" s="22" t="n"/>
      <c r="AO5" s="22" t="n"/>
      <c r="AP5" s="22" t="n"/>
      <c r="AQ5" s="22" t="n"/>
      <c r="AR5" s="22" t="n"/>
      <c r="AS5" s="22" t="n"/>
      <c r="AT5" s="22" t="n"/>
      <c r="AV5" s="22">
        <f>IF(G6&lt;&gt;0,1,0)</f>
        <v/>
      </c>
      <c r="AW5" s="84" t="n"/>
    </row>
    <row r="6" ht="15" customHeight="1" s="110" thickBot="1">
      <c r="A6" s="34">
        <f>C6+D6</f>
        <v/>
      </c>
      <c r="B6" s="35" t="inlineStr">
        <is>
          <t>＃4</t>
        </is>
      </c>
      <c r="C6" s="35">
        <f>COUNTIF(O$36:O$255,"A")</f>
        <v/>
      </c>
      <c r="D6" s="35">
        <f>COUNTIF(O$36:O$255,"B")</f>
        <v/>
      </c>
      <c r="E6" s="33" t="n">
        <v>0</v>
      </c>
      <c r="F6" s="35">
        <f>COUNTIF(O$36:O$255,"D")</f>
        <v/>
      </c>
      <c r="G6" s="97">
        <f>SUM(C6:F6)</f>
        <v/>
      </c>
      <c r="H6" s="192" t="n"/>
      <c r="I6" s="189" t="n"/>
      <c r="J6" s="3" t="n"/>
      <c r="K6" s="26" t="n"/>
      <c r="L6" s="54" t="n"/>
      <c r="M6" s="89" t="inlineStr">
        <is>
          <t>Minor Aesthetics</t>
        </is>
      </c>
      <c r="N6" s="193" t="n"/>
      <c r="O6" s="193" t="n"/>
      <c r="P6" s="193" t="n"/>
      <c r="Q6" s="194" t="n"/>
      <c r="R6" s="159" t="n">
        <v>7</v>
      </c>
      <c r="S6" s="194" t="n"/>
      <c r="T6" s="52" t="n"/>
      <c r="U6" s="22" t="n"/>
      <c r="V6" s="22" t="n"/>
      <c r="W6" s="22" t="n"/>
      <c r="X6" s="22" t="n"/>
      <c r="Y6" s="22" t="n"/>
      <c r="Z6" s="22" t="n"/>
      <c r="AA6" s="22" t="n"/>
      <c r="AB6" s="52" t="n"/>
      <c r="AC6" s="52" t="n"/>
      <c r="AD6" s="52" t="n"/>
      <c r="AE6" s="52" t="n"/>
      <c r="AF6" s="52" t="n"/>
      <c r="AG6" s="52" t="n"/>
      <c r="AH6" s="52" t="n"/>
      <c r="AI6" s="52" t="n"/>
      <c r="AJ6" s="52" t="n"/>
      <c r="AL6" s="87" t="inlineStr">
        <is>
          <t>Rust</t>
        </is>
      </c>
      <c r="AM6" s="88">
        <f>COUNTIF(AN$36:AN$255,AL6)</f>
        <v/>
      </c>
      <c r="AN6" s="22" t="n"/>
      <c r="AO6" s="22" t="n"/>
      <c r="AP6" s="22" t="n"/>
      <c r="AQ6" s="22" t="n"/>
      <c r="AR6" s="22" t="n"/>
      <c r="AS6" s="22" t="n"/>
      <c r="AT6" s="22" t="n"/>
      <c r="AV6" s="22">
        <f>IF(G7&lt;&gt;0,1,0)</f>
        <v/>
      </c>
      <c r="AW6" s="84" t="n"/>
    </row>
    <row r="7" ht="15" customHeight="1" s="110" thickBot="1">
      <c r="A7" s="34">
        <f>C7+D7</f>
        <v/>
      </c>
      <c r="B7" s="35" t="inlineStr">
        <is>
          <t>＃5</t>
        </is>
      </c>
      <c r="C7" s="35">
        <f>COUNTIF(P$36:P$255,"A")</f>
        <v/>
      </c>
      <c r="D7" s="35">
        <f>COUNTIF(P$36:P$255,"B")</f>
        <v/>
      </c>
      <c r="E7" s="33" t="n">
        <v>0</v>
      </c>
      <c r="F7" s="35">
        <f>COUNTIF(P$36:P$255,"D")</f>
        <v/>
      </c>
      <c r="G7" s="97">
        <f>SUM(C7:F7)</f>
        <v/>
      </c>
      <c r="H7" s="192" t="n"/>
      <c r="I7" s="189" t="n"/>
      <c r="J7" s="3" t="n"/>
      <c r="K7" s="26" t="n"/>
      <c r="L7" s="54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  <c r="AA7" s="52" t="n"/>
      <c r="AB7" s="52" t="n"/>
      <c r="AC7" s="52" t="n"/>
      <c r="AD7" s="52" t="n"/>
      <c r="AE7" s="52" t="n"/>
      <c r="AF7" s="52" t="n"/>
      <c r="AG7" s="52" t="n"/>
      <c r="AH7" s="52" t="n"/>
      <c r="AI7" s="52" t="n"/>
      <c r="AJ7" s="52" t="n"/>
      <c r="AL7" s="87" t="inlineStr">
        <is>
          <t>Improperly installed</t>
        </is>
      </c>
      <c r="AM7" s="88">
        <f>COUNTIF(AN$36:AN$255,AL7)</f>
        <v/>
      </c>
      <c r="AN7" s="22" t="n"/>
      <c r="AO7" s="22" t="n"/>
      <c r="AP7" s="22" t="n"/>
      <c r="AQ7" s="22" t="n"/>
      <c r="AR7" s="22" t="n"/>
      <c r="AS7" s="22" t="n"/>
      <c r="AT7" s="22" t="n"/>
      <c r="AV7" s="22">
        <f>IF(G8&lt;&gt;0,1,0)</f>
        <v/>
      </c>
      <c r="AW7" s="84" t="n"/>
    </row>
    <row r="8" ht="15" customHeight="1" s="110" thickBot="1">
      <c r="A8" s="34">
        <f>C8+D8</f>
        <v/>
      </c>
      <c r="B8" s="35" t="inlineStr">
        <is>
          <t>＃6</t>
        </is>
      </c>
      <c r="C8" s="35">
        <f>COUNTIF(Q$36:Q$255,"A")</f>
        <v/>
      </c>
      <c r="D8" s="35">
        <f>COUNTIF(Q$36:Q$255,"B")</f>
        <v/>
      </c>
      <c r="E8" s="33" t="n">
        <v>0</v>
      </c>
      <c r="F8" s="35">
        <f>COUNTIF(Q$36:Q$255,"D")</f>
        <v/>
      </c>
      <c r="G8" s="97">
        <f>SUM(C8:F8)</f>
        <v/>
      </c>
      <c r="H8" s="192" t="n"/>
      <c r="I8" s="189" t="n"/>
      <c r="J8" s="3" t="n"/>
      <c r="K8" s="26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  <c r="AA8" s="52" t="n"/>
      <c r="AB8" s="52" t="n"/>
      <c r="AC8" s="52" t="n"/>
      <c r="AD8" s="52" t="n"/>
      <c r="AE8" s="52" t="n"/>
      <c r="AF8" s="52" t="n"/>
      <c r="AG8" s="52" t="n"/>
      <c r="AH8" s="52" t="n"/>
      <c r="AI8" s="52" t="n"/>
      <c r="AJ8" s="52" t="n"/>
      <c r="AL8" s="87" t="inlineStr">
        <is>
          <t>Weld Spot Burr</t>
        </is>
      </c>
      <c r="AM8" s="88">
        <f>COUNTIF(AN$36:AN$255,AL8)</f>
        <v/>
      </c>
      <c r="AN8" s="22" t="n"/>
      <c r="AO8" s="22" t="n"/>
      <c r="AP8" s="22" t="n"/>
      <c r="AQ8" s="22" t="n"/>
      <c r="AR8" s="22" t="n"/>
      <c r="AS8" s="22" t="n"/>
      <c r="AT8" s="22" t="n"/>
      <c r="AV8" s="22">
        <f>IF(G9&lt;&gt;0,1,0)</f>
        <v/>
      </c>
      <c r="AW8" s="84" t="n"/>
    </row>
    <row r="9" ht="15" customHeight="1" s="110" thickBot="1">
      <c r="A9" s="34">
        <f>C9+D9</f>
        <v/>
      </c>
      <c r="B9" s="35" t="inlineStr">
        <is>
          <t>＃7</t>
        </is>
      </c>
      <c r="C9" s="35">
        <f>COUNTIF(R$36:R$255,"A")</f>
        <v/>
      </c>
      <c r="D9" s="35">
        <f>COUNTIF(R$36:R$255,"B")</f>
        <v/>
      </c>
      <c r="E9" s="33" t="n">
        <v>0</v>
      </c>
      <c r="F9" s="35">
        <f>COUNTIF(R$36:R$255,"D")</f>
        <v/>
      </c>
      <c r="G9" s="97">
        <f>SUM(C9:F9)</f>
        <v/>
      </c>
      <c r="H9" s="192" t="n"/>
      <c r="I9" s="189" t="n"/>
      <c r="J9" s="3" t="n"/>
      <c r="K9" s="26" t="n"/>
      <c r="L9" s="54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  <c r="AA9" s="52" t="n"/>
      <c r="AB9" s="52" t="n"/>
      <c r="AC9" s="52" t="n"/>
      <c r="AD9" s="52" t="n"/>
      <c r="AE9" s="52" t="n"/>
      <c r="AF9" s="52" t="n"/>
      <c r="AG9" s="52" t="n"/>
      <c r="AH9" s="52" t="n"/>
      <c r="AI9" s="52" t="n"/>
      <c r="AJ9" s="52" t="n"/>
      <c r="AL9" s="87" t="inlineStr">
        <is>
          <t>Weld Spot Miss</t>
        </is>
      </c>
      <c r="AM9" s="88">
        <f>COUNTIF(AN$36:AN$255,AL9)</f>
        <v/>
      </c>
      <c r="AN9" s="22" t="n"/>
      <c r="AO9" s="22" t="n"/>
      <c r="AP9" s="22" t="n"/>
      <c r="AQ9" s="22" t="n"/>
      <c r="AR9" s="22" t="n"/>
      <c r="AS9" s="22" t="n"/>
      <c r="AT9" s="22" t="n"/>
      <c r="AV9" s="22">
        <f>IF(G10&lt;&gt;0,1,0)</f>
        <v/>
      </c>
      <c r="AW9" s="84" t="n"/>
    </row>
    <row r="10" ht="15" customHeight="1" s="110" thickBot="1">
      <c r="A10" s="34">
        <f>C10+D10</f>
        <v/>
      </c>
      <c r="B10" s="35" t="inlineStr">
        <is>
          <t>＃8</t>
        </is>
      </c>
      <c r="C10" s="35">
        <f>COUNTIF(S$36:S$255,"A")</f>
        <v/>
      </c>
      <c r="D10" s="35">
        <f>COUNTIF(S$36:S$255,"B")</f>
        <v/>
      </c>
      <c r="E10" s="33" t="n">
        <v>0</v>
      </c>
      <c r="F10" s="35">
        <f>COUNTIF(S$36:S$255,"D")</f>
        <v/>
      </c>
      <c r="G10" s="97">
        <f>SUM(C10:F10)</f>
        <v/>
      </c>
      <c r="H10" s="192" t="n"/>
      <c r="I10" s="189" t="n"/>
      <c r="J10" s="3" t="n"/>
      <c r="K10" s="26" t="n"/>
      <c r="L10" s="54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  <c r="AA10" s="52" t="n"/>
      <c r="AB10" s="52" t="n"/>
      <c r="AC10" s="52" t="n"/>
      <c r="AD10" s="52" t="n"/>
      <c r="AE10" s="52" t="n"/>
      <c r="AF10" s="52" t="n"/>
      <c r="AG10" s="52" t="n"/>
      <c r="AH10" s="52" t="n"/>
      <c r="AI10" s="52" t="n"/>
      <c r="AJ10" s="52" t="n"/>
      <c r="AL10" s="87" t="inlineStr">
        <is>
          <t>Sag</t>
        </is>
      </c>
      <c r="AM10" s="88">
        <f>COUNTIF(AN$36:AN$255,AL10)</f>
        <v/>
      </c>
      <c r="AN10" s="22" t="n"/>
      <c r="AO10" s="22" t="n"/>
      <c r="AP10" s="22" t="n"/>
      <c r="AQ10" s="22" t="n"/>
      <c r="AR10" s="22" t="n"/>
      <c r="AS10" s="22" t="n"/>
      <c r="AT10" s="22" t="n"/>
      <c r="AV10" s="22">
        <f>IF(G11&lt;&gt;0,1,0)</f>
        <v/>
      </c>
      <c r="AW10" s="84" t="n"/>
    </row>
    <row r="11" ht="15" customHeight="1" s="110" thickBot="1">
      <c r="A11" s="34">
        <f>C11+D11</f>
        <v/>
      </c>
      <c r="B11" s="35" t="inlineStr">
        <is>
          <t>＃9</t>
        </is>
      </c>
      <c r="C11" s="35">
        <f>COUNTIF(T$36:T$255,"A")</f>
        <v/>
      </c>
      <c r="D11" s="35" t="n">
        <v>0</v>
      </c>
      <c r="E11" s="33" t="n">
        <v>0</v>
      </c>
      <c r="F11" s="35">
        <f>COUNTIF(T$36:T$255,"D")</f>
        <v/>
      </c>
      <c r="G11" s="97">
        <f>SUM(C11:F11)</f>
        <v/>
      </c>
      <c r="H11" s="192" t="n"/>
      <c r="I11" s="189" t="n"/>
      <c r="J11" s="3" t="n"/>
      <c r="K11" s="26" t="n"/>
      <c r="L11" s="54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  <c r="AA11" s="52" t="n"/>
      <c r="AB11" s="52" t="n"/>
      <c r="AC11" s="52" t="n"/>
      <c r="AD11" s="52" t="n"/>
      <c r="AE11" s="52" t="n"/>
      <c r="AF11" s="52" t="n"/>
      <c r="AG11" s="52" t="n"/>
      <c r="AH11" s="52" t="n"/>
      <c r="AI11" s="52" t="n"/>
      <c r="AJ11" s="52" t="n"/>
      <c r="AL11" s="87" t="inlineStr">
        <is>
          <t>Run</t>
        </is>
      </c>
      <c r="AM11" s="88">
        <f>COUNTIF(AN$36:AN$255,AL11)</f>
        <v/>
      </c>
      <c r="AN11" s="22" t="n"/>
      <c r="AO11" s="22" t="n"/>
      <c r="AP11" s="22" t="n"/>
      <c r="AQ11" s="22" t="n"/>
      <c r="AR11" s="22" t="n"/>
      <c r="AS11" s="22" t="n"/>
      <c r="AT11" s="22" t="n"/>
      <c r="AV11" s="22">
        <f>IF(G12&lt;&gt;0,1,0)</f>
        <v/>
      </c>
      <c r="AW11" s="84" t="n"/>
    </row>
    <row r="12" ht="15" customHeight="1" s="110" thickBot="1">
      <c r="A12" s="34">
        <f>C12+D12</f>
        <v/>
      </c>
      <c r="B12" s="35" t="inlineStr">
        <is>
          <t>＃10</t>
        </is>
      </c>
      <c r="C12" s="35">
        <f>COUNTIF(U$36:U$255,"A")</f>
        <v/>
      </c>
      <c r="D12" s="35" t="n">
        <v>0</v>
      </c>
      <c r="E12" s="33" t="n">
        <v>0</v>
      </c>
      <c r="F12" s="35">
        <f>COUNTIF(U$36:U$255,"D")</f>
        <v/>
      </c>
      <c r="G12" s="97">
        <f>SUM(C12:F12)</f>
        <v/>
      </c>
      <c r="H12" s="195" t="n"/>
      <c r="I12" s="196" t="n"/>
      <c r="J12" s="3" t="n"/>
      <c r="K12" s="27" t="n"/>
      <c r="L12" s="54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  <c r="AA12" s="52" t="n"/>
      <c r="AB12" s="52" t="n"/>
      <c r="AC12" s="52" t="n"/>
      <c r="AD12" s="52" t="n"/>
      <c r="AE12" s="52" t="n"/>
      <c r="AF12" s="52" t="n"/>
      <c r="AG12" s="52" t="n"/>
      <c r="AH12" s="52" t="n"/>
      <c r="AI12" s="52" t="n"/>
      <c r="AJ12" s="52" t="n"/>
      <c r="AL12" s="87" t="inlineStr">
        <is>
          <t>Dent</t>
        </is>
      </c>
      <c r="AM12" s="88">
        <f>COUNTIF(AN$36:AN$255,AL12)</f>
        <v/>
      </c>
      <c r="AN12" s="22" t="n"/>
      <c r="AO12" s="22" t="n"/>
      <c r="AP12" s="22" t="n"/>
      <c r="AQ12" s="22" t="n"/>
      <c r="AR12" s="22" t="n"/>
      <c r="AS12" s="22" t="n"/>
      <c r="AT12" s="22" t="n"/>
      <c r="AV12" s="22">
        <f>IF(G13&lt;&gt;0,1,0)</f>
        <v/>
      </c>
      <c r="AW12" s="84" t="n"/>
    </row>
    <row r="13" ht="15" customHeight="1" s="110" thickBot="1">
      <c r="A13" s="34">
        <f>C13+D13</f>
        <v/>
      </c>
      <c r="B13" s="35" t="inlineStr">
        <is>
          <t>＃11</t>
        </is>
      </c>
      <c r="C13" s="35">
        <f>COUNTIF(V$36:V$255,"A")</f>
        <v/>
      </c>
      <c r="D13" s="35">
        <f>COUNTIF(V$36:V$255,"B")</f>
        <v/>
      </c>
      <c r="E13" s="33" t="n">
        <v>0</v>
      </c>
      <c r="F13" s="35">
        <f>COUNTIF(V$36:V$255,"D")</f>
        <v/>
      </c>
      <c r="G13" s="97">
        <f>SUM(C13:F13)</f>
        <v/>
      </c>
      <c r="H13" s="195" t="n"/>
      <c r="I13" s="196" t="n"/>
      <c r="J13" s="3" t="n"/>
      <c r="K13" s="26" t="n"/>
      <c r="L13" s="54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  <c r="AA13" s="52" t="n"/>
      <c r="AB13" s="52" t="n"/>
      <c r="AC13" s="52" t="n"/>
      <c r="AD13" s="52" t="n"/>
      <c r="AE13" s="52" t="n"/>
      <c r="AF13" s="52" t="n"/>
      <c r="AG13" s="52" t="n"/>
      <c r="AH13" s="52" t="n"/>
      <c r="AI13" s="52" t="n"/>
      <c r="AJ13" s="52" t="n"/>
      <c r="AL13" s="87" t="inlineStr">
        <is>
          <t>Bump</t>
        </is>
      </c>
      <c r="AM13" s="88">
        <f>COUNTIF(AN$36:AN$255,AL13)</f>
        <v/>
      </c>
      <c r="AN13" s="22" t="n"/>
      <c r="AO13" s="22" t="n"/>
      <c r="AP13" s="22" t="n"/>
      <c r="AQ13" s="22" t="n"/>
      <c r="AR13" s="22" t="n"/>
      <c r="AS13" s="22" t="n"/>
      <c r="AT13" s="22" t="n"/>
      <c r="AV13" s="22">
        <f>IF(G14&lt;&gt;0,1,0)</f>
        <v/>
      </c>
      <c r="AW13" s="84" t="n"/>
    </row>
    <row r="14" ht="15" customHeight="1" s="110" thickBot="1">
      <c r="A14" s="34">
        <f>C14+D14</f>
        <v/>
      </c>
      <c r="B14" s="35" t="inlineStr">
        <is>
          <t>＃12</t>
        </is>
      </c>
      <c r="C14" s="35">
        <f>COUNTIF(W$36:W$255,"A")</f>
        <v/>
      </c>
      <c r="D14" s="35">
        <f>COUNTIF(W$36:W$255,"B")</f>
        <v/>
      </c>
      <c r="E14" s="33" t="n">
        <v>0</v>
      </c>
      <c r="F14" s="35">
        <f>COUNTIF(W$36:W$255,"D")</f>
        <v/>
      </c>
      <c r="G14" s="97">
        <f>SUM(C14:F14)</f>
        <v/>
      </c>
      <c r="H14" s="195" t="n"/>
      <c r="I14" s="196" t="n"/>
      <c r="J14" s="3" t="n"/>
      <c r="K14" s="26" t="n"/>
      <c r="L14" s="54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  <c r="AA14" s="52" t="n"/>
      <c r="AB14" s="52" t="n"/>
      <c r="AC14" s="52" t="n"/>
      <c r="AD14" s="52" t="n"/>
      <c r="AE14" s="52" t="n"/>
      <c r="AF14" s="52" t="n"/>
      <c r="AG14" s="52" t="n"/>
      <c r="AH14" s="52" t="n"/>
      <c r="AI14" s="52" t="n"/>
      <c r="AJ14" s="52" t="n"/>
      <c r="AL14" s="87" t="inlineStr">
        <is>
          <t>Spot Miss</t>
        </is>
      </c>
      <c r="AM14" s="88">
        <f>COUNTIF(AN$36:AN$255,AL14)</f>
        <v/>
      </c>
      <c r="AN14" s="22" t="n"/>
      <c r="AO14" s="22" t="n"/>
      <c r="AP14" s="22" t="n"/>
      <c r="AQ14" s="22" t="n"/>
      <c r="AR14" s="22" t="n"/>
      <c r="AS14" s="22" t="n"/>
      <c r="AT14" s="22" t="n"/>
      <c r="AV14" s="22">
        <f>IF(G15&lt;&gt;0,1,0)</f>
        <v/>
      </c>
      <c r="AW14" s="84" t="n"/>
    </row>
    <row r="15" ht="15" customHeight="1" s="110" thickBot="1">
      <c r="A15" s="34">
        <f>C15+D15</f>
        <v/>
      </c>
      <c r="B15" s="35" t="inlineStr">
        <is>
          <t>＃13</t>
        </is>
      </c>
      <c r="C15" s="35">
        <f>COUNTIF(X$36:X$255,"A")</f>
        <v/>
      </c>
      <c r="D15" s="35">
        <f>COUNTIF(X$36:X$255,"B")</f>
        <v/>
      </c>
      <c r="E15" s="33" t="n">
        <v>0</v>
      </c>
      <c r="F15" s="35" t="n">
        <v>0</v>
      </c>
      <c r="G15" s="97">
        <f>SUM(C15:F15)</f>
        <v/>
      </c>
      <c r="H15" s="195" t="n"/>
      <c r="I15" s="196" t="n"/>
      <c r="J15" s="3" t="n"/>
      <c r="K15" s="26" t="n"/>
      <c r="L15" s="54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  <c r="AA15" s="52" t="n"/>
      <c r="AB15" s="52" t="n"/>
      <c r="AC15" s="52" t="n"/>
      <c r="AD15" s="52" t="n"/>
      <c r="AE15" s="52" t="n"/>
      <c r="AF15" s="52" t="n"/>
      <c r="AG15" s="52" t="n"/>
      <c r="AH15" s="52" t="n"/>
      <c r="AI15" s="52" t="n"/>
      <c r="AJ15" s="52" t="n"/>
      <c r="AL15" s="87" t="inlineStr">
        <is>
          <t>Seepage</t>
        </is>
      </c>
      <c r="AM15" s="88">
        <f>COUNTIF(AN$36:AN$255,AL15)</f>
        <v/>
      </c>
      <c r="AN15" s="22" t="n"/>
      <c r="AO15" s="22" t="n"/>
      <c r="AP15" s="22" t="n"/>
      <c r="AQ15" s="22" t="n"/>
      <c r="AR15" s="22" t="n"/>
      <c r="AS15" s="22" t="n"/>
      <c r="AT15" s="22" t="n"/>
      <c r="AV15" s="22">
        <f>IF(G16&lt;&gt;0,1,0)</f>
        <v/>
      </c>
      <c r="AW15" s="84" t="n"/>
    </row>
    <row r="16" ht="15" customHeight="1" s="110" thickBot="1">
      <c r="A16" s="34">
        <f>C16+D16</f>
        <v/>
      </c>
      <c r="B16" s="35" t="inlineStr">
        <is>
          <t>＃14</t>
        </is>
      </c>
      <c r="C16" s="35">
        <f>COUNTIF(Y$36:Y$255,"A")</f>
        <v/>
      </c>
      <c r="D16" s="35">
        <f>COUNTIF(Y$36:Y$255,"B")</f>
        <v/>
      </c>
      <c r="E16" s="33" t="n">
        <v>0</v>
      </c>
      <c r="F16" s="35">
        <f>COUNTIF(Y$36:Y$255,"D")</f>
        <v/>
      </c>
      <c r="G16" s="97">
        <f>SUM(C16:F16)</f>
        <v/>
      </c>
      <c r="H16" s="195" t="n"/>
      <c r="I16" s="196" t="n"/>
      <c r="J16" s="3" t="n"/>
      <c r="K16" s="26" t="n"/>
      <c r="L16" s="54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  <c r="AA16" s="52" t="n"/>
      <c r="AB16" s="52" t="n"/>
      <c r="AC16" s="52" t="n"/>
      <c r="AD16" s="52" t="n"/>
      <c r="AE16" s="52" t="n"/>
      <c r="AF16" s="52" t="n"/>
      <c r="AG16" s="52" t="n"/>
      <c r="AH16" s="52" t="n"/>
      <c r="AI16" s="52" t="n"/>
      <c r="AJ16" s="52" t="n"/>
      <c r="AL16" s="87" t="inlineStr">
        <is>
          <t>Leakage</t>
        </is>
      </c>
      <c r="AM16" s="88">
        <f>COUNTIF(AN$36:AN$255,AL16)</f>
        <v/>
      </c>
      <c r="AN16" s="22" t="n"/>
      <c r="AO16" s="22" t="n"/>
      <c r="AP16" s="22" t="n"/>
      <c r="AQ16" s="22" t="n"/>
      <c r="AR16" s="22" t="n"/>
      <c r="AS16" s="22" t="n"/>
      <c r="AT16" s="22" t="n"/>
      <c r="AV16" s="22">
        <f>IF(G17&lt;&gt;0,1,0)</f>
        <v/>
      </c>
      <c r="AW16" s="84" t="n"/>
    </row>
    <row r="17" ht="15" customHeight="1" s="110" thickBot="1">
      <c r="A17" s="34">
        <f>C17+D17</f>
        <v/>
      </c>
      <c r="B17" s="35" t="inlineStr">
        <is>
          <t>＃15</t>
        </is>
      </c>
      <c r="C17" s="35">
        <f>COUNTIF(Z$36:Z$255,"A")</f>
        <v/>
      </c>
      <c r="D17" s="35">
        <f>COUNTIF(Z$36:Z$255,"B")</f>
        <v/>
      </c>
      <c r="E17" s="33" t="n">
        <v>0</v>
      </c>
      <c r="F17" s="35">
        <f>COUNTIF(Z$36:Z$255,"D")</f>
        <v/>
      </c>
      <c r="G17" s="97">
        <f>SUM(C17:F17)</f>
        <v/>
      </c>
      <c r="H17" s="195" t="n"/>
      <c r="I17" s="196" t="n"/>
      <c r="J17" s="3" t="n"/>
      <c r="K17" s="26" t="n"/>
      <c r="L17" s="54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  <c r="AA17" s="52" t="n"/>
      <c r="AB17" s="52" t="n"/>
      <c r="AC17" s="52" t="n"/>
      <c r="AD17" s="52" t="n"/>
      <c r="AE17" s="52" t="n"/>
      <c r="AF17" s="52" t="n"/>
      <c r="AG17" s="52" t="n"/>
      <c r="AH17" s="52" t="n"/>
      <c r="AI17" s="52" t="n"/>
      <c r="AJ17" s="52" t="n"/>
      <c r="AL17" s="87" t="inlineStr">
        <is>
          <t>Crater</t>
        </is>
      </c>
      <c r="AM17" s="88">
        <f>COUNTIF(AN$36:AN$255,AL17)</f>
        <v/>
      </c>
      <c r="AN17" s="22" t="n"/>
      <c r="AO17" s="22" t="n"/>
      <c r="AP17" s="22" t="n"/>
      <c r="AQ17" s="22" t="n"/>
      <c r="AR17" s="22" t="n"/>
      <c r="AS17" s="22" t="n"/>
      <c r="AT17" s="22" t="n"/>
      <c r="AV17" s="22">
        <f>IF(G18&lt;&gt;0,1,0)</f>
        <v/>
      </c>
      <c r="AW17" s="84" t="n"/>
    </row>
    <row r="18" ht="15" customHeight="1" s="110" thickBot="1">
      <c r="A18" s="34">
        <f>C18+D18</f>
        <v/>
      </c>
      <c r="B18" s="35" t="inlineStr">
        <is>
          <t>＃16</t>
        </is>
      </c>
      <c r="C18" s="35">
        <f>COUNTIF(AA$36:AA$255,"A")</f>
        <v/>
      </c>
      <c r="D18" s="35">
        <f>COUNTIF(AA$36:AA$255,"B")</f>
        <v/>
      </c>
      <c r="E18" s="33" t="n">
        <v>0</v>
      </c>
      <c r="F18" s="35">
        <f>COUNTIF(AA$146:AA$255,"D")</f>
        <v/>
      </c>
      <c r="G18" s="97">
        <f>SUM(C18:F18)</f>
        <v/>
      </c>
      <c r="H18" s="195" t="n"/>
      <c r="I18" s="196" t="n"/>
      <c r="J18" s="3" t="n"/>
      <c r="K18" s="26" t="n"/>
      <c r="L18" s="54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  <c r="AA18" s="52" t="n"/>
      <c r="AB18" s="52" t="n"/>
      <c r="AC18" s="52" t="n"/>
      <c r="AD18" s="52" t="n"/>
      <c r="AE18" s="52" t="n"/>
      <c r="AF18" s="52" t="n"/>
      <c r="AG18" s="52" t="n"/>
      <c r="AH18" s="52" t="n"/>
      <c r="AI18" s="52" t="n"/>
      <c r="AJ18" s="52" t="n"/>
      <c r="AL18" s="87" t="inlineStr">
        <is>
          <t>Thin Paint</t>
        </is>
      </c>
      <c r="AM18" s="88">
        <f>COUNTIF(AN$36:AN$255,AL18)</f>
        <v/>
      </c>
      <c r="AN18" s="22" t="n"/>
      <c r="AO18" s="22" t="n"/>
      <c r="AP18" s="22" t="n"/>
      <c r="AQ18" s="22" t="n"/>
      <c r="AR18" s="22" t="n"/>
      <c r="AS18" s="22" t="n"/>
      <c r="AT18" s="22" t="n"/>
      <c r="AV18" s="22">
        <f>IF(G19&lt;&gt;0,1,0)</f>
        <v/>
      </c>
      <c r="AW18" s="84" t="n"/>
    </row>
    <row r="19" ht="15" customHeight="1" s="110" thickBot="1">
      <c r="A19" s="34">
        <f>C19+D19</f>
        <v/>
      </c>
      <c r="B19" s="35" t="inlineStr">
        <is>
          <t>＃17</t>
        </is>
      </c>
      <c r="C19" s="35">
        <f>COUNTIF(AB$36:AB$255,"A")</f>
        <v/>
      </c>
      <c r="D19" s="35">
        <f>COUNTIF(AB$36:AB$255,"B")</f>
        <v/>
      </c>
      <c r="E19" s="33" t="n">
        <v>0</v>
      </c>
      <c r="F19" s="35">
        <f>COUNTIF(AB$36:AB$255,"D")</f>
        <v/>
      </c>
      <c r="G19" s="97">
        <f>SUM(C19:F19)</f>
        <v/>
      </c>
      <c r="H19" s="195" t="n"/>
      <c r="I19" s="196" t="n"/>
      <c r="J19" s="3" t="n"/>
      <c r="K19" s="26" t="n"/>
      <c r="L19" s="54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  <c r="AA19" s="52" t="n"/>
      <c r="AB19" s="52" t="n"/>
      <c r="AC19" s="52" t="n"/>
      <c r="AD19" s="52" t="n"/>
      <c r="AE19" s="52" t="n"/>
      <c r="AF19" s="52" t="n"/>
      <c r="AG19" s="52" t="n"/>
      <c r="AH19" s="52" t="n"/>
      <c r="AI19" s="52" t="n"/>
      <c r="AJ19" s="52" t="n"/>
      <c r="AL19" s="87" t="inlineStr">
        <is>
          <t>Part Miss</t>
        </is>
      </c>
      <c r="AM19" s="88">
        <f>COUNTIF(AN$36:AN$255,AL19)</f>
        <v/>
      </c>
      <c r="AN19" s="22" t="n"/>
      <c r="AO19" s="22" t="n"/>
      <c r="AP19" s="22" t="n"/>
      <c r="AQ19" s="22" t="n"/>
      <c r="AR19" s="22" t="n"/>
      <c r="AS19" s="22" t="n"/>
      <c r="AT19" s="22" t="n"/>
      <c r="AV19" s="22">
        <f>IF(G20&lt;&gt;0,1,0)</f>
        <v/>
      </c>
      <c r="AW19" s="84" t="n"/>
    </row>
    <row r="20" ht="15" customHeight="1" s="110" thickBot="1">
      <c r="A20" s="34">
        <f>C20+D20</f>
        <v/>
      </c>
      <c r="B20" s="35" t="inlineStr">
        <is>
          <t>＃18</t>
        </is>
      </c>
      <c r="C20" s="35">
        <f>COUNTIF(AC$36:AC$255,"A")</f>
        <v/>
      </c>
      <c r="D20" s="35">
        <f>COUNTIF(AC$36:AC$255,"B")</f>
        <v/>
      </c>
      <c r="E20" s="33" t="n">
        <v>0</v>
      </c>
      <c r="F20" s="35">
        <f>COUNTIF(AC$36:AC$255,"D")</f>
        <v/>
      </c>
      <c r="G20" s="97">
        <f>SUM(C20:F20)</f>
        <v/>
      </c>
      <c r="H20" s="195" t="n"/>
      <c r="I20" s="196" t="n"/>
      <c r="J20" s="3" t="n"/>
      <c r="K20" s="26" t="n"/>
      <c r="L20" s="54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  <c r="AA20" s="52" t="n"/>
      <c r="AB20" s="52" t="n"/>
      <c r="AC20" s="52" t="n"/>
      <c r="AD20" s="52" t="n"/>
      <c r="AE20" s="52" t="n"/>
      <c r="AF20" s="52" t="n"/>
      <c r="AG20" s="52" t="n"/>
      <c r="AH20" s="52" t="n"/>
      <c r="AI20" s="52" t="n"/>
      <c r="AJ20" s="52" t="n"/>
      <c r="AL20" s="87" t="inlineStr">
        <is>
          <t>Routing Wrong</t>
        </is>
      </c>
      <c r="AM20" s="88">
        <f>COUNTIF(AN$36:AN$255,AL20)</f>
        <v/>
      </c>
      <c r="AN20" s="22" t="n"/>
      <c r="AO20" s="22" t="n"/>
      <c r="AP20" s="22" t="n"/>
      <c r="AQ20" s="22" t="n"/>
      <c r="AR20" s="22" t="n"/>
      <c r="AS20" s="22" t="n"/>
      <c r="AT20" s="22" t="n"/>
      <c r="AV20" s="22">
        <f>IF(G21&lt;&gt;0,1,0)</f>
        <v/>
      </c>
      <c r="AW20" s="84" t="n"/>
    </row>
    <row r="21" ht="15" customHeight="1" s="110" thickBot="1">
      <c r="A21" s="34">
        <f>C21+D21</f>
        <v/>
      </c>
      <c r="B21" s="35" t="inlineStr">
        <is>
          <t>＃19</t>
        </is>
      </c>
      <c r="C21" s="35">
        <f>COUNTIF(AD$36:AD$255,"A")</f>
        <v/>
      </c>
      <c r="D21" s="35">
        <f>COUNTIF(AD$36:AD$255,"B")</f>
        <v/>
      </c>
      <c r="E21" s="33" t="n">
        <v>0</v>
      </c>
      <c r="F21" s="35">
        <f>COUNTIF(AD$36:AD$255,"D")</f>
        <v/>
      </c>
      <c r="G21" s="97">
        <f>SUM(C21:F21)</f>
        <v/>
      </c>
      <c r="H21" s="195" t="n"/>
      <c r="I21" s="196" t="n"/>
      <c r="J21" s="3" t="n"/>
      <c r="K21" s="26" t="n"/>
      <c r="L21" s="54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  <c r="AA21" s="52" t="n"/>
      <c r="AB21" s="52" t="n"/>
      <c r="AC21" s="52" t="n"/>
      <c r="AD21" s="52" t="n"/>
      <c r="AE21" s="52" t="n"/>
      <c r="AF21" s="52" t="n"/>
      <c r="AG21" s="52" t="n"/>
      <c r="AH21" s="52" t="n"/>
      <c r="AI21" s="52" t="n"/>
      <c r="AJ21" s="52" t="n"/>
      <c r="AL21" s="87" t="inlineStr">
        <is>
          <t>Wrong Part</t>
        </is>
      </c>
      <c r="AM21" s="88">
        <f>COUNTIF(AN$36:AN$255,AL21)</f>
        <v/>
      </c>
      <c r="AN21" s="22" t="n"/>
      <c r="AO21" s="22" t="n"/>
      <c r="AP21" s="22" t="n"/>
      <c r="AQ21" s="22" t="n"/>
      <c r="AR21" s="22" t="n"/>
      <c r="AS21" s="22" t="n"/>
      <c r="AT21" s="22" t="n"/>
      <c r="AV21" s="22">
        <f>IF(G22&lt;&gt;0,1,0)</f>
        <v/>
      </c>
      <c r="AW21" s="84" t="n"/>
    </row>
    <row r="22" ht="15" customHeight="1" s="110" thickBot="1">
      <c r="A22" s="34">
        <f>C22+D22</f>
        <v/>
      </c>
      <c r="B22" s="35" t="inlineStr">
        <is>
          <t>＃20</t>
        </is>
      </c>
      <c r="C22" s="35">
        <f>COUNTIF(AE$36:AE$255,"A")</f>
        <v/>
      </c>
      <c r="D22" s="35">
        <f>COUNTIF(AE$36:AE$255,"B")</f>
        <v/>
      </c>
      <c r="E22" s="33" t="n">
        <v>0</v>
      </c>
      <c r="F22" s="35">
        <f>COUNTIF(AE$36:AE$255,"D")</f>
        <v/>
      </c>
      <c r="G22" s="97">
        <f>SUM(C22:F22)</f>
        <v/>
      </c>
      <c r="H22" s="195" t="n"/>
      <c r="I22" s="196" t="n"/>
      <c r="J22" s="3" t="n"/>
      <c r="K22" s="27" t="n"/>
      <c r="L22" s="54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52" t="n"/>
      <c r="AD22" s="52" t="n"/>
      <c r="AE22" s="52" t="n"/>
      <c r="AF22" s="52" t="n"/>
      <c r="AG22" s="52" t="n"/>
      <c r="AH22" s="52" t="n"/>
      <c r="AI22" s="52" t="n"/>
      <c r="AJ22" s="52" t="n"/>
      <c r="AL22" s="87" t="inlineStr">
        <is>
          <t>Deformation</t>
        </is>
      </c>
      <c r="AM22" s="88">
        <f>COUNTIF(AN$36:AN$255,AL22)</f>
        <v/>
      </c>
      <c r="AN22" s="22" t="n"/>
      <c r="AO22" s="22" t="n"/>
      <c r="AP22" s="22" t="n"/>
      <c r="AQ22" s="22" t="n"/>
      <c r="AR22" s="22" t="n"/>
      <c r="AS22" s="22" t="n"/>
      <c r="AT22" s="22" t="n"/>
      <c r="AV22" s="22">
        <f>IF(G23&lt;&gt;0,1,0)</f>
        <v/>
      </c>
      <c r="AW22" s="84" t="n"/>
    </row>
    <row r="23" ht="15" customHeight="1" s="110" thickBot="1">
      <c r="A23" s="34">
        <f>C23+D23</f>
        <v/>
      </c>
      <c r="B23" s="35" t="inlineStr">
        <is>
          <t>＃21</t>
        </is>
      </c>
      <c r="C23" s="35">
        <f>COUNTIF(AF$36:AF$255,"A")</f>
        <v/>
      </c>
      <c r="D23" s="35">
        <f>COUNTIF(AF$36:AF$255,"B")</f>
        <v/>
      </c>
      <c r="E23" s="33" t="n">
        <v>0</v>
      </c>
      <c r="F23" s="35">
        <f>COUNTIF(AF$36:AF$255,"D")</f>
        <v/>
      </c>
      <c r="G23" s="97">
        <f>SUM(C23:F23)</f>
        <v/>
      </c>
      <c r="H23" s="195" t="n"/>
      <c r="I23" s="196" t="n"/>
      <c r="J23" s="3" t="n"/>
      <c r="K23" s="26" t="n"/>
      <c r="L23" s="54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  <c r="AA23" s="52" t="n"/>
      <c r="AB23" s="52" t="n"/>
      <c r="AC23" s="52" t="n"/>
      <c r="AD23" s="52" t="n"/>
      <c r="AE23" s="52" t="n"/>
      <c r="AF23" s="52" t="n"/>
      <c r="AG23" s="52" t="n"/>
      <c r="AH23" s="52" t="n"/>
      <c r="AI23" s="52" t="n"/>
      <c r="AJ23" s="52" t="n"/>
      <c r="AL23" s="87" t="inlineStr">
        <is>
          <t>Gap NG</t>
        </is>
      </c>
      <c r="AM23" s="88">
        <f>COUNTIF(AN$36:AN$255,AL23)</f>
        <v/>
      </c>
      <c r="AN23" s="22" t="n"/>
      <c r="AO23" s="22" t="n"/>
      <c r="AP23" s="22" t="n"/>
      <c r="AQ23" s="22" t="n"/>
      <c r="AR23" s="22" t="n"/>
      <c r="AS23" s="22" t="n"/>
      <c r="AT23" s="22" t="n"/>
      <c r="AV23" s="22">
        <f>IF(G24&lt;&gt;0,1,0)</f>
        <v/>
      </c>
      <c r="AW23" s="84" t="n"/>
    </row>
    <row r="24" ht="15" customHeight="1" s="110" thickBot="1">
      <c r="A24" s="34">
        <f>C24+D24</f>
        <v/>
      </c>
      <c r="B24" s="35" t="inlineStr">
        <is>
          <t>＃22</t>
        </is>
      </c>
      <c r="C24" s="35">
        <f>COUNTIF(AG$36:AG$255,"A")</f>
        <v/>
      </c>
      <c r="D24" s="35">
        <f>COUNTIF(AG$36:AG$255,"B")</f>
        <v/>
      </c>
      <c r="E24" s="33" t="n">
        <v>0</v>
      </c>
      <c r="F24" s="35">
        <f>COUNTIF(AG$36:AG$255,"D")</f>
        <v/>
      </c>
      <c r="G24" s="97">
        <f>SUM(C24:F24)</f>
        <v/>
      </c>
      <c r="H24" s="195" t="n"/>
      <c r="I24" s="196" t="n"/>
      <c r="J24" s="3" t="n"/>
      <c r="K24" s="26" t="n"/>
      <c r="L24" s="54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  <c r="AA24" s="52" t="n"/>
      <c r="AB24" s="52" t="n"/>
      <c r="AC24" s="52" t="n"/>
      <c r="AD24" s="52" t="n"/>
      <c r="AE24" s="52" t="n"/>
      <c r="AF24" s="52" t="n"/>
      <c r="AG24" s="52" t="n"/>
      <c r="AH24" s="52" t="n"/>
      <c r="AI24" s="52" t="n"/>
      <c r="AJ24" s="52" t="n"/>
      <c r="AL24" s="87" t="inlineStr">
        <is>
          <t>Indicator not work</t>
        </is>
      </c>
      <c r="AM24" s="88">
        <f>COUNTIF(AN$36:AN$255,AL24)</f>
        <v/>
      </c>
      <c r="AN24" s="22" t="n"/>
      <c r="AO24" s="22" t="n"/>
      <c r="AP24" s="22" t="n"/>
      <c r="AQ24" s="22" t="n"/>
      <c r="AR24" s="22" t="n"/>
      <c r="AS24" s="22" t="n"/>
      <c r="AT24" s="22" t="n"/>
      <c r="AV24" s="22">
        <f>IF(G25&lt;&gt;0,1,0)</f>
        <v/>
      </c>
      <c r="AW24" s="84" t="n"/>
    </row>
    <row r="25" ht="15" customHeight="1" s="110" thickBot="1">
      <c r="A25" s="34">
        <f>C25+D25</f>
        <v/>
      </c>
      <c r="B25" s="35" t="inlineStr">
        <is>
          <t>＃23</t>
        </is>
      </c>
      <c r="C25" s="35">
        <f>COUNTIF(AH$36:AH$255,"A")</f>
        <v/>
      </c>
      <c r="D25" s="35">
        <f>COUNTIF(AH$36:AH$255,"B")</f>
        <v/>
      </c>
      <c r="E25" s="33" t="n">
        <v>0</v>
      </c>
      <c r="F25" s="35">
        <f>COUNTIF(AH$36:AH$255,"D")</f>
        <v/>
      </c>
      <c r="G25" s="97">
        <f>SUM(C25:F25)</f>
        <v/>
      </c>
      <c r="H25" s="195" t="n"/>
      <c r="I25" s="196" t="n"/>
      <c r="J25" s="3" t="n"/>
      <c r="K25" s="27" t="n"/>
      <c r="L25" s="54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  <c r="AA25" s="52" t="n"/>
      <c r="AB25" s="52" t="n"/>
      <c r="AC25" s="52" t="n"/>
      <c r="AD25" s="52" t="n"/>
      <c r="AE25" s="52" t="n"/>
      <c r="AF25" s="52" t="n"/>
      <c r="AG25" s="52" t="n"/>
      <c r="AH25" s="52" t="n"/>
      <c r="AI25" s="52" t="n"/>
      <c r="AJ25" s="52" t="n"/>
      <c r="AL25" s="87" t="inlineStr">
        <is>
          <t>Wrinkles</t>
        </is>
      </c>
      <c r="AM25" s="88">
        <f>COUNTIF(AN$36:AN$255,AL25)</f>
        <v/>
      </c>
      <c r="AN25" s="22" t="n"/>
      <c r="AO25" s="22" t="n"/>
      <c r="AP25" s="22" t="n"/>
      <c r="AQ25" s="22" t="n"/>
      <c r="AR25" s="22" t="n"/>
      <c r="AS25" s="22" t="n"/>
      <c r="AT25" s="22" t="n"/>
      <c r="AV25" s="22">
        <f>IF(G26&lt;&gt;0,1,0)</f>
        <v/>
      </c>
      <c r="AW25" s="84" t="n"/>
    </row>
    <row r="26" ht="15" customHeight="1" s="110" thickBot="1">
      <c r="A26" s="34">
        <f>C26+D26</f>
        <v/>
      </c>
      <c r="B26" s="35" t="inlineStr">
        <is>
          <t>＃24</t>
        </is>
      </c>
      <c r="C26" s="35">
        <f>COUNTIF(AI$36:AI$255,"A")</f>
        <v/>
      </c>
      <c r="D26" s="35">
        <f>COUNTIF(AI$36:AI$255,"B")</f>
        <v/>
      </c>
      <c r="E26" s="33" t="n">
        <v>0</v>
      </c>
      <c r="F26" s="35">
        <f>COUNTIF(AI$36:AI$255,"D")</f>
        <v/>
      </c>
      <c r="G26" s="97">
        <f>SUM(C26:F26)</f>
        <v/>
      </c>
      <c r="H26" s="195" t="n"/>
      <c r="I26" s="196" t="n"/>
      <c r="J26" s="3" t="n"/>
      <c r="K26" s="26" t="n"/>
      <c r="L26" s="54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L26" s="87" t="inlineStr">
        <is>
          <t>Torque Mark Miss</t>
        </is>
      </c>
      <c r="AM26" s="88">
        <f>COUNTIF(AN$36:AN$255,AL26)</f>
        <v/>
      </c>
      <c r="AN26" s="22" t="n"/>
      <c r="AO26" s="22" t="n"/>
      <c r="AP26" s="22" t="n"/>
      <c r="AQ26" s="22" t="n"/>
      <c r="AR26" s="22" t="n"/>
      <c r="AS26" s="22" t="n"/>
      <c r="AT26" s="22" t="n"/>
      <c r="AV26" s="22">
        <f>IF(G27&lt;&gt;0,1,0)</f>
        <v/>
      </c>
      <c r="AW26" s="84" t="n"/>
    </row>
    <row r="27" ht="15" customHeight="1" s="110" thickBot="1">
      <c r="A27" s="36">
        <f>C27+D27</f>
        <v/>
      </c>
      <c r="B27" s="37" t="inlineStr">
        <is>
          <t>＃25</t>
        </is>
      </c>
      <c r="C27" s="37">
        <f>COUNTIF(AJ$36:AJ$255,"A")</f>
        <v/>
      </c>
      <c r="D27" s="37">
        <f>COUNTIF(AJ$36:AJ$255,"B")</f>
        <v/>
      </c>
      <c r="E27" s="33" t="n">
        <v>0</v>
      </c>
      <c r="F27" s="37">
        <f>COUNTIF(AJ$36:AJ$255,"D")</f>
        <v/>
      </c>
      <c r="G27" s="98">
        <f>SUM(C27:F27)</f>
        <v/>
      </c>
      <c r="H27" s="195" t="n"/>
      <c r="I27" s="196" t="n"/>
      <c r="J27" s="3" t="n"/>
      <c r="K27" s="26" t="n"/>
      <c r="L27" s="54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  <c r="AG27" s="52" t="n"/>
      <c r="AH27" s="52" t="n"/>
      <c r="AI27" s="52" t="n"/>
      <c r="AJ27" s="52" t="n"/>
      <c r="AL27" s="89" t="inlineStr">
        <is>
          <t>Other</t>
        </is>
      </c>
      <c r="AM27" s="90">
        <f>COUNTIF(AN$36:AN$255,AL27)</f>
        <v/>
      </c>
      <c r="AN27" s="22" t="n"/>
      <c r="AO27" s="22" t="n"/>
      <c r="AP27" s="22" t="n"/>
      <c r="AQ27" s="22" t="n"/>
      <c r="AR27" s="22" t="n"/>
      <c r="AS27" s="22" t="n"/>
      <c r="AT27" s="22" t="n"/>
    </row>
    <row r="28" ht="15" customHeight="1" s="110" thickBot="1">
      <c r="A28" s="38" t="n"/>
      <c r="B28" s="39" t="inlineStr">
        <is>
          <t>total</t>
        </is>
      </c>
      <c r="C28" s="197">
        <f>SUM(C3:C27)</f>
        <v/>
      </c>
      <c r="D28" s="197">
        <f>SUM(D3:D27)</f>
        <v/>
      </c>
      <c r="E28" s="197">
        <f>SUM(E3:E27)</f>
        <v/>
      </c>
      <c r="F28" s="197">
        <f>SUM(F3:F27)</f>
        <v/>
      </c>
      <c r="G28" s="198">
        <f>SUM(G3:G27)</f>
        <v/>
      </c>
      <c r="H28" s="199" t="inlineStr">
        <is>
          <t>DPU</t>
        </is>
      </c>
      <c r="I28" s="200" t="n"/>
      <c r="J28" s="200" t="n"/>
      <c r="K28" s="201" t="n"/>
      <c r="L28" s="54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  <c r="AG28" s="52" t="n"/>
      <c r="AH28" s="52" t="n"/>
      <c r="AI28" s="52" t="n"/>
      <c r="AJ28" s="52" t="n"/>
      <c r="AL28" s="50" t="n"/>
      <c r="AM28" s="22" t="n"/>
    </row>
    <row r="29" ht="15" customHeight="1" s="110" thickBot="1">
      <c r="A29" s="38" t="n"/>
      <c r="B29" s="41" t="inlineStr">
        <is>
          <t>Ave</t>
        </is>
      </c>
      <c r="C29" s="42">
        <f>+AVERAGE(C3:C27)</f>
        <v/>
      </c>
      <c r="D29" s="42">
        <f>+AVERAGE(D3:D27)</f>
        <v/>
      </c>
      <c r="E29" s="42">
        <f>+AVERAGE(E3:E27)</f>
        <v/>
      </c>
      <c r="F29" s="42">
        <f>+AVERAGE(F3:F27)</f>
        <v/>
      </c>
      <c r="G29" s="91">
        <f>+AVERAGE(G3:G27)</f>
        <v/>
      </c>
      <c r="H29" s="166" t="inlineStr">
        <is>
          <t>Unit Audited</t>
        </is>
      </c>
      <c r="I29" s="185" t="n"/>
      <c r="J29" s="202" t="n"/>
      <c r="K29" s="92" t="n">
        <v>3</v>
      </c>
      <c r="L29" s="54" t="n"/>
      <c r="M29" s="54" t="n"/>
      <c r="N29" s="54" t="n"/>
      <c r="O29" s="54" t="n"/>
      <c r="P29" s="54" t="n"/>
      <c r="Q29" s="54" t="n"/>
      <c r="R29" s="54" t="n"/>
      <c r="S29" s="54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  <c r="AG29" s="52" t="n"/>
      <c r="AH29" s="52" t="n"/>
      <c r="AI29" s="52" t="n"/>
      <c r="AJ29" s="52" t="n"/>
      <c r="AL29" s="50" t="n"/>
      <c r="AM29" s="22" t="n"/>
    </row>
    <row r="30" ht="15" customHeight="1" s="110" thickBot="1">
      <c r="A30" s="38" t="n"/>
      <c r="B30" s="43" t="n"/>
      <c r="C30" s="44" t="inlineStr">
        <is>
          <t>A+B</t>
        </is>
      </c>
      <c r="D30" s="45">
        <f>C29+D29</f>
        <v/>
      </c>
      <c r="E30" s="46" t="n"/>
      <c r="F30" s="46" t="n"/>
      <c r="G30" s="46" t="n"/>
      <c r="H30" s="168" t="inlineStr">
        <is>
          <t>Total Observations</t>
        </is>
      </c>
      <c r="I30" s="190" t="n"/>
      <c r="J30" s="191" t="n"/>
      <c r="K30" s="203" t="n">
        <v>10</v>
      </c>
      <c r="L30" s="54" t="n"/>
      <c r="M30" s="54" t="n"/>
      <c r="N30" s="54" t="n"/>
      <c r="O30" s="54" t="n"/>
      <c r="P30" s="54" t="n"/>
      <c r="Q30" s="54" t="n"/>
      <c r="R30" s="54" t="n"/>
      <c r="S30" s="54" t="n"/>
      <c r="T30" s="54" t="n"/>
      <c r="U30" s="54" t="n"/>
      <c r="V30" s="54" t="n"/>
      <c r="W30" s="54" t="n"/>
      <c r="X30" s="54" t="n"/>
      <c r="Y30" s="54" t="n"/>
      <c r="Z30" s="54" t="n"/>
      <c r="AA30" s="54" t="n"/>
      <c r="AB30" s="54" t="n"/>
      <c r="AC30" s="54" t="n"/>
      <c r="AD30" s="54" t="n"/>
      <c r="AE30" s="54" t="n"/>
      <c r="AF30" s="54" t="n"/>
      <c r="AG30" s="54" t="n"/>
      <c r="AH30" s="54" t="n"/>
      <c r="AI30" s="54" t="n"/>
      <c r="AJ30" s="54" t="n"/>
      <c r="AK30" s="55" t="n"/>
      <c r="AL30" s="50" t="n"/>
      <c r="AM30" s="22" t="n"/>
    </row>
    <row r="31" ht="15" customHeight="1" s="110" thickBot="1">
      <c r="A31" s="38" t="n"/>
      <c r="B31" s="43" t="n"/>
      <c r="C31" s="46" t="n"/>
      <c r="D31" s="46" t="n"/>
      <c r="E31" s="46" t="n"/>
      <c r="F31" s="46" t="n"/>
      <c r="G31" s="46" t="n"/>
      <c r="H31" s="169" t="inlineStr">
        <is>
          <t>DPU</t>
        </is>
      </c>
      <c r="I31" s="193" t="n"/>
      <c r="J31" s="194" t="n"/>
      <c r="K31" s="94">
        <f>K30/K29</f>
        <v/>
      </c>
      <c r="L31" s="54" t="n"/>
      <c r="M31" s="54" t="n"/>
      <c r="N31" s="54" t="n"/>
      <c r="O31" s="54" t="n"/>
      <c r="P31" s="54" t="n"/>
      <c r="Q31" s="54" t="n"/>
      <c r="R31" s="54" t="n"/>
      <c r="S31" s="54" t="n"/>
      <c r="T31" s="54" t="n"/>
      <c r="U31" s="54" t="n"/>
      <c r="V31" s="54" t="n"/>
      <c r="W31" s="54" t="n"/>
      <c r="X31" s="54" t="n"/>
      <c r="Y31" s="54" t="n"/>
      <c r="Z31" s="54" t="n"/>
      <c r="AA31" s="54" t="n"/>
      <c r="AB31" s="54" t="n"/>
      <c r="AC31" s="54" t="n"/>
      <c r="AD31" s="54" t="n"/>
      <c r="AE31" s="54" t="n"/>
      <c r="AF31" s="54" t="n"/>
      <c r="AG31" s="54" t="n"/>
      <c r="AH31" s="54" t="n"/>
      <c r="AI31" s="54" t="n"/>
      <c r="AJ31" s="54" t="n"/>
      <c r="AK31" s="55" t="n"/>
      <c r="AL31" s="50" t="n"/>
      <c r="AM31" s="22" t="n"/>
    </row>
    <row r="32" ht="12.75" customHeight="1" s="110" thickBot="1">
      <c r="A32" s="55" t="inlineStr">
        <is>
          <t xml:space="preserve">(2) Pointed </t>
        </is>
      </c>
      <c r="K32" s="80" t="n"/>
      <c r="L32" s="81">
        <f>COUNTA(L146:L255)</f>
        <v/>
      </c>
      <c r="M32" s="81">
        <f>COUNTA(M146:M255)</f>
        <v/>
      </c>
      <c r="N32" s="81">
        <f>COUNTA(N146:N255)</f>
        <v/>
      </c>
      <c r="O32" s="81">
        <f>COUNTA(O146:O255)</f>
        <v/>
      </c>
      <c r="P32" s="81">
        <f>COUNTA(P146:P255)</f>
        <v/>
      </c>
      <c r="Q32" s="81">
        <f>COUNTA(Q146:Q255)</f>
        <v/>
      </c>
      <c r="R32" s="81">
        <f>COUNTA(R146:R255)</f>
        <v/>
      </c>
      <c r="S32" s="81">
        <f>COUNTA(S146:S255)</f>
        <v/>
      </c>
      <c r="T32" s="81">
        <f>COUNTA(T146:T255)</f>
        <v/>
      </c>
      <c r="U32" s="81">
        <f>COUNTA(U146:U255)</f>
        <v/>
      </c>
      <c r="V32" s="81">
        <f>COUNTA(V146:V255)</f>
        <v/>
      </c>
      <c r="W32" s="81">
        <f>COUNTA(W146:W255)</f>
        <v/>
      </c>
      <c r="X32" s="81">
        <f>COUNTA(X146:X255)</f>
        <v/>
      </c>
      <c r="Y32" s="81">
        <f>COUNTA(Y146:Y255)</f>
        <v/>
      </c>
      <c r="Z32" s="81">
        <f>COUNTA(Z146:Z255)</f>
        <v/>
      </c>
      <c r="AA32" s="81">
        <f>COUNTA(AA146:AA255)</f>
        <v/>
      </c>
      <c r="AB32" s="81">
        <f>COUNTA(AB146:AB255)</f>
        <v/>
      </c>
      <c r="AC32" s="81">
        <f>COUNTA(AC146:AC255)</f>
        <v/>
      </c>
      <c r="AD32" s="81">
        <f>COUNTA(AD146:AD255)</f>
        <v/>
      </c>
      <c r="AE32" s="81">
        <f>COUNTA(AE146:AE255)</f>
        <v/>
      </c>
      <c r="AF32" s="81">
        <f>COUNTA(AF146:AF255)</f>
        <v/>
      </c>
      <c r="AG32" s="81">
        <f>COUNTA(AG146:AG255)</f>
        <v/>
      </c>
      <c r="AH32" s="81">
        <f>COUNTA(AH146:AH255)</f>
        <v/>
      </c>
      <c r="AI32" s="81">
        <f>COUNTA(AI146:AI255)</f>
        <v/>
      </c>
      <c r="AJ32" s="81">
        <f>COUNTA(AJ146:AJ255)</f>
        <v/>
      </c>
      <c r="AK32" s="82" t="n"/>
      <c r="AL32" s="83">
        <f>SUM(L32:AJ32)</f>
        <v/>
      </c>
      <c r="AU32" s="52" t="n"/>
    </row>
    <row r="33" ht="29.25" customHeight="1" s="110" thickBot="1">
      <c r="A33" s="132" t="inlineStr">
        <is>
          <t>S. No</t>
        </is>
      </c>
      <c r="B33" s="133" t="inlineStr">
        <is>
          <t>Observations</t>
        </is>
      </c>
      <c r="C33" s="204" t="n"/>
      <c r="D33" s="204" t="n"/>
      <c r="E33" s="204" t="n"/>
      <c r="F33" s="205" t="n"/>
      <c r="G33" s="132" t="inlineStr">
        <is>
          <t>Defect 
Class</t>
        </is>
      </c>
      <c r="H33" s="132" t="inlineStr">
        <is>
          <t>Defect 
Zone</t>
        </is>
      </c>
      <c r="I33" s="133" t="inlineStr">
        <is>
          <t>Count</t>
        </is>
      </c>
      <c r="J33" s="132" t="inlineStr">
        <is>
          <t>Photo1
(Zoom Out)</t>
        </is>
      </c>
      <c r="K33" s="132" t="inlineStr">
        <is>
          <t>Photo2
(Zoom In)</t>
        </is>
      </c>
      <c r="L33" s="206" t="inlineStr">
        <is>
          <t>EVALUATION　VEHICLE．RESULT</t>
        </is>
      </c>
      <c r="M33" s="204" t="n"/>
      <c r="N33" s="204" t="n"/>
      <c r="O33" s="204" t="n"/>
      <c r="P33" s="204" t="n"/>
      <c r="Q33" s="204" t="n"/>
      <c r="R33" s="204" t="n"/>
      <c r="S33" s="204" t="n"/>
      <c r="T33" s="204" t="n"/>
      <c r="U33" s="204" t="n"/>
      <c r="V33" s="204" t="n"/>
      <c r="W33" s="204" t="n"/>
      <c r="X33" s="204" t="n"/>
      <c r="Y33" s="204" t="n"/>
      <c r="Z33" s="204" t="n"/>
      <c r="AA33" s="204" t="n"/>
      <c r="AB33" s="204" t="n"/>
      <c r="AC33" s="204" t="n"/>
      <c r="AD33" s="204" t="n"/>
      <c r="AE33" s="204" t="n"/>
      <c r="AF33" s="204" t="n"/>
      <c r="AG33" s="204" t="n"/>
      <c r="AH33" s="204" t="n"/>
      <c r="AI33" s="204" t="n"/>
      <c r="AJ33" s="204" t="n"/>
      <c r="AK33" s="205" t="n"/>
      <c r="AL33" s="132" t="inlineStr">
        <is>
          <t>Responsible Section</t>
        </is>
      </c>
      <c r="AM33" s="132" t="inlineStr">
        <is>
          <t>Defect Type</t>
        </is>
      </c>
      <c r="AN33" s="132" t="inlineStr">
        <is>
          <t>Category</t>
        </is>
      </c>
      <c r="AO33" s="132" t="inlineStr">
        <is>
          <t>Root cause</t>
        </is>
      </c>
      <c r="AP33" s="132" t="inlineStr">
        <is>
          <t>Immediate Action</t>
        </is>
      </c>
      <c r="AQ33" s="132" t="inlineStr">
        <is>
          <t>Interim Corrective Action</t>
        </is>
      </c>
      <c r="AR33" s="132" t="inlineStr">
        <is>
          <t>Permanent Corrective Action</t>
        </is>
      </c>
      <c r="AS33" s="132" t="inlineStr">
        <is>
          <t>Responsible</t>
        </is>
      </c>
      <c r="AT33" s="132" t="inlineStr">
        <is>
          <t>Target 
Date</t>
        </is>
      </c>
      <c r="AU33" s="132" t="inlineStr">
        <is>
          <t>Status</t>
        </is>
      </c>
    </row>
    <row r="34" ht="54.95" customHeight="1" s="110" thickBot="1">
      <c r="A34" s="207" t="n"/>
      <c r="B34" s="208" t="n"/>
      <c r="C34" s="209" t="n"/>
      <c r="D34" s="209" t="n"/>
      <c r="E34" s="209" t="n"/>
      <c r="F34" s="210" t="n"/>
      <c r="G34" s="207" t="n"/>
      <c r="H34" s="207" t="n"/>
      <c r="I34" s="207" t="n"/>
      <c r="J34" s="207" t="n"/>
      <c r="K34" s="207" t="n"/>
      <c r="L34" s="65" t="n">
        <v>1</v>
      </c>
      <c r="M34" s="66" t="n">
        <v>2</v>
      </c>
      <c r="N34" s="66" t="n">
        <v>3</v>
      </c>
      <c r="O34" s="66" t="n">
        <v>4</v>
      </c>
      <c r="P34" s="66" t="n">
        <v>5</v>
      </c>
      <c r="Q34" s="66" t="n">
        <v>6</v>
      </c>
      <c r="R34" s="66" t="n">
        <v>7</v>
      </c>
      <c r="S34" s="66" t="n">
        <v>8</v>
      </c>
      <c r="T34" s="66" t="n">
        <v>9</v>
      </c>
      <c r="U34" s="66" t="n">
        <v>10</v>
      </c>
      <c r="V34" s="66" t="n">
        <v>11</v>
      </c>
      <c r="W34" s="66" t="n">
        <v>12</v>
      </c>
      <c r="X34" s="66" t="n">
        <v>13</v>
      </c>
      <c r="Y34" s="66" t="n">
        <v>14</v>
      </c>
      <c r="Z34" s="66" t="n">
        <v>15</v>
      </c>
      <c r="AA34" s="66" t="n">
        <v>16</v>
      </c>
      <c r="AB34" s="66" t="n">
        <v>17</v>
      </c>
      <c r="AC34" s="66" t="n">
        <v>18</v>
      </c>
      <c r="AD34" s="66" t="n">
        <v>19</v>
      </c>
      <c r="AE34" s="66" t="n">
        <v>20</v>
      </c>
      <c r="AF34" s="66" t="n">
        <v>21</v>
      </c>
      <c r="AG34" s="66" t="n">
        <v>22</v>
      </c>
      <c r="AH34" s="66" t="n">
        <v>23</v>
      </c>
      <c r="AI34" s="66" t="n">
        <v>24</v>
      </c>
      <c r="AJ34" s="67" t="n">
        <v>25</v>
      </c>
      <c r="AK34" s="68" t="inlineStr">
        <is>
          <t>subtotal</t>
        </is>
      </c>
      <c r="AL34" s="207" t="n"/>
      <c r="AM34" s="207" t="n"/>
      <c r="AN34" s="207" t="n"/>
      <c r="AO34" s="207" t="n"/>
      <c r="AP34" s="207" t="n"/>
      <c r="AQ34" s="207" t="n"/>
      <c r="AR34" s="207" t="n"/>
      <c r="AS34" s="207" t="n"/>
      <c r="AT34" s="207" t="n"/>
      <c r="AU34" s="207" t="n"/>
    </row>
    <row r="35" ht="15.6" customHeight="1" s="110" thickBot="1">
      <c r="A35" s="151" t="inlineStr">
        <is>
          <t>No.</t>
        </is>
      </c>
      <c r="B35" s="133" t="inlineStr">
        <is>
          <t>Obs</t>
        </is>
      </c>
      <c r="C35" s="211" t="n"/>
      <c r="D35" s="211" t="n"/>
      <c r="E35" s="211" t="n"/>
      <c r="F35" s="212" t="n"/>
      <c r="G35" s="156" t="inlineStr">
        <is>
          <t>Class</t>
        </is>
      </c>
      <c r="H35" s="71" t="inlineStr">
        <is>
          <t>Zone</t>
        </is>
      </c>
      <c r="I35" s="139" t="inlineStr">
        <is>
          <t>Count</t>
        </is>
      </c>
      <c r="J35" s="139" t="inlineStr">
        <is>
          <t>P1</t>
        </is>
      </c>
      <c r="K35" s="132" t="inlineStr">
        <is>
          <t>P2</t>
        </is>
      </c>
      <c r="L35" s="72" t="n">
        <v>1</v>
      </c>
      <c r="M35" s="73" t="n">
        <v>2</v>
      </c>
      <c r="N35" s="73" t="n">
        <v>3</v>
      </c>
      <c r="O35" s="73" t="n">
        <v>4</v>
      </c>
      <c r="P35" s="73" t="n">
        <v>5</v>
      </c>
      <c r="Q35" s="73" t="n">
        <v>6</v>
      </c>
      <c r="R35" s="73" t="n">
        <v>7</v>
      </c>
      <c r="S35" s="73" t="n">
        <v>8</v>
      </c>
      <c r="T35" s="73" t="n">
        <v>9</v>
      </c>
      <c r="U35" s="73" t="n">
        <v>10</v>
      </c>
      <c r="V35" s="73" t="n">
        <v>11</v>
      </c>
      <c r="W35" s="73" t="n">
        <v>12</v>
      </c>
      <c r="X35" s="73" t="n">
        <v>13</v>
      </c>
      <c r="Y35" s="74" t="n">
        <v>14</v>
      </c>
      <c r="Z35" s="75" t="n">
        <v>15</v>
      </c>
      <c r="AA35" s="73" t="n">
        <v>9</v>
      </c>
      <c r="AB35" s="73" t="n">
        <v>10</v>
      </c>
      <c r="AC35" s="73" t="n">
        <v>11</v>
      </c>
      <c r="AD35" s="73" t="n">
        <v>12</v>
      </c>
      <c r="AE35" s="73" t="n">
        <v>13</v>
      </c>
      <c r="AF35" s="74" t="n">
        <v>14</v>
      </c>
      <c r="AG35" s="75" t="n">
        <v>15</v>
      </c>
      <c r="AH35" s="73" t="n">
        <v>13</v>
      </c>
      <c r="AI35" s="74" t="n">
        <v>14</v>
      </c>
      <c r="AJ35" s="75" t="n">
        <v>15</v>
      </c>
      <c r="AK35" s="76" t="inlineStr">
        <is>
          <t>subtotal</t>
        </is>
      </c>
      <c r="AL35" s="151" t="n"/>
      <c r="AM35" s="132" t="n"/>
      <c r="AN35" s="152" t="n"/>
      <c r="AO35" s="77" t="n"/>
      <c r="AP35" s="77" t="n"/>
      <c r="AQ35" s="77" t="n"/>
      <c r="AR35" s="132" t="n"/>
      <c r="AS35" s="132" t="n"/>
      <c r="AT35" s="132" t="n"/>
      <c r="AU35" s="132" t="n"/>
    </row>
    <row r="36" ht="110.1" customFormat="1" customHeight="1" s="14" thickBot="1">
      <c r="A36" s="79" t="n">
        <v>1</v>
      </c>
      <c r="B36" s="213" t="inlineStr">
        <is>
          <t xml:space="preserve">Where?
Cabin Front
What?　
Show Panel
How?　
Dent
Other info? </t>
        </is>
      </c>
      <c r="C36" s="200" t="n"/>
      <c r="D36" s="200" t="n"/>
      <c r="E36" s="200" t="n"/>
      <c r="F36" s="201" t="n"/>
      <c r="G36" s="4" t="inlineStr">
        <is>
          <t>C</t>
        </is>
      </c>
      <c r="H36" s="4" t="inlineStr">
        <is>
          <t>A</t>
        </is>
      </c>
      <c r="I36" s="78" t="n">
        <v>1</v>
      </c>
      <c r="J36" s="5" t="n"/>
      <c r="K36" s="6" t="n"/>
      <c r="L36" s="7" t="inlineStr">
        <is>
          <t>C</t>
        </is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9" t="n"/>
      <c r="AA36" s="8" t="n"/>
      <c r="AB36" s="8" t="n"/>
      <c r="AC36" s="8" t="n"/>
      <c r="AD36" s="8" t="n"/>
      <c r="AE36" s="8" t="n"/>
      <c r="AF36" s="8" t="n"/>
      <c r="AG36" s="9" t="n"/>
      <c r="AH36" s="8" t="n"/>
      <c r="AI36" s="8" t="n"/>
      <c r="AJ36" s="9" t="n"/>
      <c r="AK36" s="56">
        <f>COUNTA(L36:AJ36)</f>
        <v/>
      </c>
      <c r="AL36" s="95" t="inlineStr">
        <is>
          <t>Paint Shop</t>
        </is>
      </c>
      <c r="AM36" s="10" t="inlineStr">
        <is>
          <t>Major Aesthetics</t>
        </is>
      </c>
      <c r="AN36" s="10" t="inlineStr">
        <is>
          <t>Dent</t>
        </is>
      </c>
      <c r="AO36" s="11" t="n"/>
      <c r="AP36" s="11" t="n"/>
      <c r="AQ36" s="12" t="n"/>
      <c r="AR36" s="13" t="n"/>
      <c r="AS36" s="13" t="n"/>
      <c r="AT36" s="13" t="n"/>
      <c r="AU36" s="13" t="n"/>
    </row>
    <row r="37" ht="110.1" customFormat="1" customHeight="1" s="14" thickBot="1">
      <c r="A37" s="79" t="n">
        <v>2</v>
      </c>
      <c r="B37" s="213" t="inlineStr">
        <is>
          <t xml:space="preserve">Where?
Chassis RHS 
What?　
Coolant bottle BOLT
How?　
Part change
Other info? </t>
        </is>
      </c>
      <c r="C37" s="200" t="n"/>
      <c r="D37" s="200" t="n"/>
      <c r="E37" s="200" t="n"/>
      <c r="F37" s="201" t="n"/>
      <c r="G37" s="4" t="inlineStr">
        <is>
          <t>D</t>
        </is>
      </c>
      <c r="H37" s="4" t="inlineStr">
        <is>
          <t>C</t>
        </is>
      </c>
      <c r="I37" s="78" t="n">
        <v>1</v>
      </c>
      <c r="J37" s="15" t="n"/>
      <c r="K37" s="6" t="n"/>
      <c r="L37" s="7" t="inlineStr">
        <is>
          <t>D</t>
        </is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9" t="n"/>
      <c r="AA37" s="8" t="n"/>
      <c r="AB37" s="8" t="n"/>
      <c r="AC37" s="8" t="n"/>
      <c r="AD37" s="8" t="n"/>
      <c r="AE37" s="8" t="n"/>
      <c r="AF37" s="8" t="n"/>
      <c r="AG37" s="9" t="n"/>
      <c r="AH37" s="8" t="n"/>
      <c r="AI37" s="8" t="n"/>
      <c r="AJ37" s="9" t="n"/>
      <c r="AK37" s="56">
        <f>COUNTA(L37:AJ37)</f>
        <v/>
      </c>
      <c r="AL37" s="95" t="inlineStr">
        <is>
          <t>Assembly Shop</t>
        </is>
      </c>
      <c r="AM37" s="10" t="inlineStr">
        <is>
          <t>Minor Aesthetics</t>
        </is>
      </c>
      <c r="AN37" s="10" t="inlineStr">
        <is>
          <t>Wrong Part</t>
        </is>
      </c>
      <c r="AO37" s="11" t="n"/>
      <c r="AP37" s="11" t="n"/>
      <c r="AQ37" s="16" t="n"/>
      <c r="AR37" s="13" t="n"/>
      <c r="AS37" s="13" t="n"/>
      <c r="AT37" s="13" t="n"/>
      <c r="AU37" s="13" t="n"/>
    </row>
    <row r="38" ht="110.1" customFormat="1" customHeight="1" s="14" thickBot="1">
      <c r="A38" s="79" t="n">
        <v>3</v>
      </c>
      <c r="B38" s="213" t="inlineStr">
        <is>
          <t xml:space="preserve">Where?
Cabin Front
What?　
Coolant bottle cap
How?　
Not Proper Tight
Other info? </t>
        </is>
      </c>
      <c r="C38" s="200" t="n"/>
      <c r="D38" s="200" t="n"/>
      <c r="E38" s="200" t="n"/>
      <c r="F38" s="201" t="n"/>
      <c r="G38" s="4" t="inlineStr">
        <is>
          <t>C</t>
        </is>
      </c>
      <c r="H38" s="4" t="inlineStr">
        <is>
          <t>D</t>
        </is>
      </c>
      <c r="I38" s="78" t="n">
        <v>1</v>
      </c>
      <c r="J38" s="15" t="n"/>
      <c r="K38" s="6" t="n"/>
      <c r="L38" s="7" t="n"/>
      <c r="M38" s="8" t="inlineStr">
        <is>
          <t>C</t>
        </is>
      </c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9" t="n"/>
      <c r="AA38" s="8" t="n"/>
      <c r="AB38" s="8" t="n"/>
      <c r="AC38" s="8" t="n"/>
      <c r="AD38" s="8" t="n"/>
      <c r="AE38" s="8" t="n"/>
      <c r="AF38" s="8" t="n"/>
      <c r="AG38" s="9" t="n"/>
      <c r="AH38" s="8" t="n"/>
      <c r="AI38" s="8" t="n"/>
      <c r="AJ38" s="9" t="n"/>
      <c r="AK38" s="56">
        <f>COUNTA(L38:AJ38)</f>
        <v/>
      </c>
      <c r="AL38" s="95" t="inlineStr">
        <is>
          <t>Assembly Shop</t>
        </is>
      </c>
      <c r="AM38" s="10" t="inlineStr">
        <is>
          <t>Minor Aesthetics</t>
        </is>
      </c>
      <c r="AN38" s="10" t="inlineStr">
        <is>
          <t>Improperly installed</t>
        </is>
      </c>
      <c r="AO38" s="11" t="n"/>
      <c r="AP38" s="11" t="n"/>
      <c r="AQ38" s="16" t="n"/>
      <c r="AR38" s="13" t="n"/>
      <c r="AS38" s="13" t="n"/>
      <c r="AT38" s="13" t="n"/>
      <c r="AU38" s="13" t="n"/>
    </row>
    <row r="39" ht="110.1" customFormat="1" customHeight="1" s="14" thickBot="1">
      <c r="A39" s="79" t="n">
        <v>4</v>
      </c>
      <c r="B39" s="213" t="inlineStr">
        <is>
          <t xml:space="preserve">Where?
Cabin LHS
What?　
Door Lock Washer
How?　
Wrong Fitment
Other info? </t>
        </is>
      </c>
      <c r="C39" s="200" t="n"/>
      <c r="D39" s="200" t="n"/>
      <c r="E39" s="200" t="n"/>
      <c r="F39" s="201" t="n"/>
      <c r="G39" s="4" t="inlineStr">
        <is>
          <t>D</t>
        </is>
      </c>
      <c r="H39" s="4" t="inlineStr">
        <is>
          <t>C</t>
        </is>
      </c>
      <c r="I39" s="78" t="n">
        <v>1</v>
      </c>
      <c r="J39" s="15" t="n"/>
      <c r="K39" s="6" t="n"/>
      <c r="L39" s="7" t="n"/>
      <c r="M39" s="8" t="inlineStr">
        <is>
          <t>D</t>
        </is>
      </c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9" t="n"/>
      <c r="AA39" s="8" t="n"/>
      <c r="AB39" s="8" t="n"/>
      <c r="AC39" s="8" t="n"/>
      <c r="AD39" s="8" t="n"/>
      <c r="AE39" s="8" t="n"/>
      <c r="AF39" s="8" t="n"/>
      <c r="AG39" s="9" t="n"/>
      <c r="AH39" s="8" t="n"/>
      <c r="AI39" s="8" t="n"/>
      <c r="AJ39" s="9" t="n"/>
      <c r="AK39" s="56">
        <f>COUNTA(L39:AJ39)</f>
        <v/>
      </c>
      <c r="AL39" s="95" t="inlineStr">
        <is>
          <t>Assembly Shop</t>
        </is>
      </c>
      <c r="AM39" s="10" t="inlineStr">
        <is>
          <t>Minor Aesthetics</t>
        </is>
      </c>
      <c r="AN39" s="10" t="inlineStr">
        <is>
          <t>Improperly installed</t>
        </is>
      </c>
      <c r="AO39" s="11" t="n"/>
      <c r="AP39" s="11" t="n"/>
      <c r="AQ39" s="16" t="n"/>
      <c r="AR39" s="13" t="n"/>
      <c r="AS39" s="13" t="n"/>
      <c r="AT39" s="13" t="n"/>
      <c r="AU39" s="13" t="n"/>
    </row>
    <row r="40" ht="110.1" customFormat="1" customHeight="1" s="14" thickBot="1">
      <c r="A40" s="79" t="n">
        <v>5</v>
      </c>
      <c r="B40" s="213" t="inlineStr">
        <is>
          <t xml:space="preserve">Where?
Chassis LHS
What?　
Air PIPE  
How?　
Poor Fitment
Other info? </t>
        </is>
      </c>
      <c r="C40" s="200" t="n"/>
      <c r="D40" s="200" t="n"/>
      <c r="E40" s="200" t="n"/>
      <c r="F40" s="201" t="n"/>
      <c r="G40" s="4" t="inlineStr">
        <is>
          <t>C</t>
        </is>
      </c>
      <c r="H40" s="4" t="inlineStr">
        <is>
          <t>D</t>
        </is>
      </c>
      <c r="I40" s="78" t="n">
        <v>1</v>
      </c>
      <c r="J40" s="15" t="n"/>
      <c r="K40" s="6" t="n"/>
      <c r="L40" s="7" t="n"/>
      <c r="M40" s="8" t="inlineStr">
        <is>
          <t>C</t>
        </is>
      </c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9" t="n"/>
      <c r="AA40" s="8" t="n"/>
      <c r="AB40" s="8" t="n"/>
      <c r="AC40" s="8" t="n"/>
      <c r="AD40" s="8" t="n"/>
      <c r="AE40" s="8" t="n"/>
      <c r="AF40" s="8" t="n"/>
      <c r="AG40" s="9" t="n"/>
      <c r="AH40" s="8" t="n"/>
      <c r="AI40" s="8" t="n"/>
      <c r="AJ40" s="9" t="n"/>
      <c r="AK40" s="56">
        <f>COUNTA(L40:AJ40)</f>
        <v/>
      </c>
      <c r="AL40" s="95" t="inlineStr">
        <is>
          <t>Assembly Shop</t>
        </is>
      </c>
      <c r="AM40" s="10" t="inlineStr">
        <is>
          <t>Minor Aesthetics</t>
        </is>
      </c>
      <c r="AN40" s="10" t="inlineStr">
        <is>
          <t>Looseness</t>
        </is>
      </c>
      <c r="AO40" s="11" t="n"/>
      <c r="AP40" s="11" t="n"/>
      <c r="AQ40" s="16" t="n"/>
      <c r="AR40" s="13" t="n"/>
      <c r="AS40" s="13" t="n"/>
      <c r="AT40" s="13" t="n"/>
      <c r="AU40" s="13" t="n"/>
    </row>
    <row r="41" ht="112.5" customFormat="1" customHeight="1" s="14" thickBot="1">
      <c r="A41" s="79" t="n">
        <v>6</v>
      </c>
      <c r="B41" s="213" t="inlineStr">
        <is>
          <t xml:space="preserve">Where?
Cabin Underbody
What?　
High Power Horn Wire 
How?　
Loose
Other info? </t>
        </is>
      </c>
      <c r="C41" s="200" t="n"/>
      <c r="D41" s="200" t="n"/>
      <c r="E41" s="200" t="n"/>
      <c r="F41" s="201" t="n"/>
      <c r="G41" s="4" t="inlineStr">
        <is>
          <t>C</t>
        </is>
      </c>
      <c r="H41" s="4" t="inlineStr">
        <is>
          <t>D</t>
        </is>
      </c>
      <c r="I41" s="78" t="n">
        <v>1</v>
      </c>
      <c r="J41" s="15" t="n"/>
      <c r="K41" s="6" t="n"/>
      <c r="L41" s="7" t="n"/>
      <c r="M41" s="8" t="inlineStr">
        <is>
          <t>C</t>
        </is>
      </c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9" t="n"/>
      <c r="AA41" s="8" t="n"/>
      <c r="AB41" s="8" t="n"/>
      <c r="AC41" s="8" t="n"/>
      <c r="AD41" s="8" t="n"/>
      <c r="AE41" s="8" t="n"/>
      <c r="AF41" s="8" t="n"/>
      <c r="AG41" s="9" t="n"/>
      <c r="AH41" s="8" t="n"/>
      <c r="AI41" s="8" t="n"/>
      <c r="AJ41" s="9" t="n"/>
      <c r="AK41" s="56">
        <f>COUNTA(L41:AJ41)</f>
        <v/>
      </c>
      <c r="AL41" s="95" t="inlineStr">
        <is>
          <t>Assembly Shop</t>
        </is>
      </c>
      <c r="AM41" s="10" t="inlineStr">
        <is>
          <t>Functional</t>
        </is>
      </c>
      <c r="AN41" s="10" t="inlineStr">
        <is>
          <t>Harness Routing Wrong</t>
        </is>
      </c>
      <c r="AO41" s="11" t="n"/>
      <c r="AP41" s="11" t="n"/>
      <c r="AQ41" s="16" t="n"/>
      <c r="AR41" s="13" t="n"/>
      <c r="AS41" s="13" t="n"/>
      <c r="AT41" s="13" t="n"/>
      <c r="AU41" s="13" t="n"/>
    </row>
    <row r="42" ht="110.1" customFormat="1" customHeight="1" s="14" thickBot="1">
      <c r="A42" s="79" t="n">
        <v>7</v>
      </c>
      <c r="B42" s="213" t="inlineStr">
        <is>
          <t xml:space="preserve">Where?
Cabin LHS
What?　
Door Weather strip
How?　
Gap NG
Other info? </t>
        </is>
      </c>
      <c r="C42" s="200" t="n"/>
      <c r="D42" s="200" t="n"/>
      <c r="E42" s="200" t="n"/>
      <c r="F42" s="201" t="n"/>
      <c r="G42" s="4" t="inlineStr">
        <is>
          <t>C</t>
        </is>
      </c>
      <c r="H42" s="4" t="inlineStr">
        <is>
          <t>C</t>
        </is>
      </c>
      <c r="I42" s="78" t="n">
        <v>1</v>
      </c>
      <c r="J42" s="15" t="n"/>
      <c r="K42" s="6" t="n"/>
      <c r="L42" s="7" t="n"/>
      <c r="M42" s="8" t="inlineStr">
        <is>
          <t>C</t>
        </is>
      </c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9" t="n"/>
      <c r="AA42" s="8" t="n"/>
      <c r="AB42" s="8" t="n"/>
      <c r="AC42" s="8" t="n"/>
      <c r="AD42" s="8" t="n"/>
      <c r="AE42" s="8" t="n"/>
      <c r="AF42" s="8" t="n"/>
      <c r="AG42" s="9" t="n"/>
      <c r="AH42" s="8" t="n"/>
      <c r="AI42" s="8" t="n"/>
      <c r="AJ42" s="9" t="n"/>
      <c r="AK42" s="56">
        <f>COUNTA(L42:AJ42)</f>
        <v/>
      </c>
      <c r="AL42" s="95" t="inlineStr">
        <is>
          <t>Assembly Shop</t>
        </is>
      </c>
      <c r="AM42" s="10" t="inlineStr">
        <is>
          <t>Minor Aesthetics</t>
        </is>
      </c>
      <c r="AN42" s="10" t="inlineStr">
        <is>
          <t>Improperly installed</t>
        </is>
      </c>
      <c r="AO42" s="11" t="n"/>
      <c r="AP42" s="11" t="n"/>
      <c r="AQ42" s="16" t="n"/>
      <c r="AR42" s="13" t="n"/>
      <c r="AS42" s="13" t="n"/>
      <c r="AT42" s="13" t="n"/>
      <c r="AU42" s="13" t="n"/>
    </row>
    <row r="43" ht="110.1" customFormat="1" customHeight="1" s="14" thickBot="1">
      <c r="A43" s="79" t="n">
        <v>8</v>
      </c>
      <c r="B43" s="213" t="inlineStr">
        <is>
          <t xml:space="preserve">Where?
Cabin Inside
What?　
Sunvisor LHS
How?　
Cut mark
Other info? </t>
        </is>
      </c>
      <c r="C43" s="200" t="n"/>
      <c r="D43" s="200" t="n"/>
      <c r="E43" s="200" t="n"/>
      <c r="F43" s="201" t="n"/>
      <c r="G43" s="4" t="inlineStr">
        <is>
          <t>C</t>
        </is>
      </c>
      <c r="H43" s="4" t="inlineStr">
        <is>
          <t>C</t>
        </is>
      </c>
      <c r="I43" s="78" t="n">
        <v>1</v>
      </c>
      <c r="J43" s="15" t="n"/>
      <c r="K43" s="6" t="n"/>
      <c r="L43" s="7" t="n"/>
      <c r="M43" s="8" t="n"/>
      <c r="N43" s="8" t="inlineStr">
        <is>
          <t>C</t>
        </is>
      </c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9" t="n"/>
      <c r="AA43" s="8" t="n"/>
      <c r="AB43" s="8" t="n"/>
      <c r="AC43" s="8" t="n"/>
      <c r="AD43" s="8" t="n"/>
      <c r="AE43" s="8" t="n"/>
      <c r="AF43" s="8" t="n"/>
      <c r="AG43" s="9" t="n"/>
      <c r="AH43" s="8" t="n"/>
      <c r="AI43" s="8" t="n"/>
      <c r="AJ43" s="9" t="n"/>
      <c r="AK43" s="56">
        <f>COUNTA(L43:AJ43)</f>
        <v/>
      </c>
      <c r="AL43" s="95" t="inlineStr">
        <is>
          <t>Assembly Shop</t>
        </is>
      </c>
      <c r="AM43" s="10" t="inlineStr">
        <is>
          <t>Minor Aesthetics</t>
        </is>
      </c>
      <c r="AN43" s="10" t="inlineStr">
        <is>
          <t>Deformation</t>
        </is>
      </c>
      <c r="AO43" s="11" t="n"/>
      <c r="AP43" s="11" t="n"/>
      <c r="AQ43" s="16" t="n"/>
      <c r="AR43" s="13" t="n"/>
      <c r="AS43" s="13" t="n"/>
      <c r="AT43" s="13" t="n"/>
      <c r="AU43" s="13" t="n"/>
    </row>
    <row r="44" ht="110.1" customFormat="1" customHeight="1" s="14" thickBot="1">
      <c r="A44" s="79" t="n">
        <v>9</v>
      </c>
      <c r="B44" s="213" t="inlineStr">
        <is>
          <t xml:space="preserve">Where?
Chassis underbody
What?　
Alternator Wire
How?　
Strach
Other info? </t>
        </is>
      </c>
      <c r="C44" s="200" t="n"/>
      <c r="D44" s="200" t="n"/>
      <c r="E44" s="200" t="n"/>
      <c r="F44" s="201" t="n"/>
      <c r="G44" s="17" t="inlineStr">
        <is>
          <t>C</t>
        </is>
      </c>
      <c r="H44" s="4" t="inlineStr">
        <is>
          <t>D</t>
        </is>
      </c>
      <c r="I44" s="78" t="n">
        <v>1</v>
      </c>
      <c r="J44" s="15" t="n"/>
      <c r="K44" s="6" t="n"/>
      <c r="L44" s="7" t="n"/>
      <c r="M44" s="8" t="n"/>
      <c r="N44" s="8" t="inlineStr">
        <is>
          <t>C</t>
        </is>
      </c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9" t="n"/>
      <c r="AA44" s="8" t="n"/>
      <c r="AB44" s="8" t="n"/>
      <c r="AC44" s="8" t="n"/>
      <c r="AD44" s="8" t="n"/>
      <c r="AE44" s="8" t="n"/>
      <c r="AF44" s="8" t="n"/>
      <c r="AG44" s="9" t="n"/>
      <c r="AH44" s="8" t="n"/>
      <c r="AI44" s="8" t="n"/>
      <c r="AJ44" s="9" t="n"/>
      <c r="AK44" s="56">
        <f>COUNTA(L44:AJ44)</f>
        <v/>
      </c>
      <c r="AL44" s="95" t="inlineStr">
        <is>
          <t>Assembly Shop</t>
        </is>
      </c>
      <c r="AM44" s="10" t="inlineStr">
        <is>
          <t>Functional</t>
        </is>
      </c>
      <c r="AN44" s="10" t="inlineStr">
        <is>
          <t>Improperly installed</t>
        </is>
      </c>
      <c r="AO44" s="11" t="n"/>
      <c r="AP44" s="11" t="n"/>
      <c r="AQ44" s="16" t="n"/>
      <c r="AR44" s="13" t="n"/>
      <c r="AS44" s="13" t="n"/>
      <c r="AT44" s="13" t="n"/>
      <c r="AU44" s="13" t="n"/>
    </row>
    <row r="45" ht="110.1" customFormat="1" customHeight="1" s="14" thickBot="1">
      <c r="A45" s="79" t="n">
        <v>10</v>
      </c>
      <c r="B45" s="213" t="inlineStr">
        <is>
          <t xml:space="preserve">Where?
Cabin Inside
What?　
Front Dashboard
How?　
Scratch
Other info? </t>
        </is>
      </c>
      <c r="C45" s="200" t="n"/>
      <c r="D45" s="200" t="n"/>
      <c r="E45" s="200" t="n"/>
      <c r="F45" s="201" t="n"/>
      <c r="G45" s="4" t="inlineStr">
        <is>
          <t>C</t>
        </is>
      </c>
      <c r="H45" s="4" t="inlineStr">
        <is>
          <t>C</t>
        </is>
      </c>
      <c r="I45" s="78" t="n">
        <v>1</v>
      </c>
      <c r="J45" s="15" t="n"/>
      <c r="K45" s="6" t="n"/>
      <c r="L45" s="7" t="n"/>
      <c r="M45" s="8" t="n"/>
      <c r="N45" s="8" t="inlineStr">
        <is>
          <t>C</t>
        </is>
      </c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9" t="n"/>
      <c r="AA45" s="8" t="n"/>
      <c r="AB45" s="8" t="n"/>
      <c r="AC45" s="8" t="n"/>
      <c r="AD45" s="8" t="n"/>
      <c r="AE45" s="8" t="n"/>
      <c r="AF45" s="8" t="n"/>
      <c r="AG45" s="9" t="n"/>
      <c r="AH45" s="8" t="n"/>
      <c r="AI45" s="8" t="n"/>
      <c r="AJ45" s="9" t="n"/>
      <c r="AK45" s="56">
        <f>COUNTA(L45:AJ45)</f>
        <v/>
      </c>
      <c r="AL45" s="95" t="inlineStr">
        <is>
          <t>Paint Shop</t>
        </is>
      </c>
      <c r="AM45" s="10" t="inlineStr">
        <is>
          <t>Minor Aesthetics</t>
        </is>
      </c>
      <c r="AN45" s="10" t="inlineStr">
        <is>
          <t>Scratch</t>
        </is>
      </c>
      <c r="AO45" s="11" t="n"/>
      <c r="AP45" s="11" t="n"/>
      <c r="AQ45" s="16" t="n"/>
      <c r="AR45" s="13" t="n"/>
      <c r="AS45" s="13" t="n"/>
      <c r="AT45" s="13" t="n"/>
      <c r="AU45" s="13" t="n"/>
    </row>
    <row r="46" ht="110.1" customFormat="1" customHeight="1" s="14" thickBot="1">
      <c r="A46" s="79" t="n">
        <v>11</v>
      </c>
      <c r="B46" s="213" t="inlineStr">
        <is>
          <t xml:space="preserve">Where?
What?　
How?　
Other info? </t>
        </is>
      </c>
      <c r="C46" s="200" t="n"/>
      <c r="D46" s="200" t="n"/>
      <c r="E46" s="200" t="n"/>
      <c r="F46" s="201" t="n"/>
      <c r="G46" s="4" t="n"/>
      <c r="H46" s="4" t="n"/>
      <c r="I46" s="78" t="n"/>
      <c r="J46" s="15" t="n"/>
      <c r="K46" s="6" t="n"/>
      <c r="L46" s="7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9" t="n"/>
      <c r="AA46" s="8" t="n"/>
      <c r="AB46" s="8" t="n"/>
      <c r="AC46" s="8" t="n"/>
      <c r="AD46" s="8" t="n"/>
      <c r="AE46" s="8" t="n"/>
      <c r="AF46" s="8" t="n"/>
      <c r="AG46" s="9" t="n"/>
      <c r="AH46" s="8" t="n"/>
      <c r="AI46" s="8" t="n"/>
      <c r="AJ46" s="9" t="n"/>
      <c r="AK46" s="56">
        <f>COUNTA(L46:AJ46)</f>
        <v/>
      </c>
      <c r="AL46" s="95" t="n"/>
      <c r="AM46" s="10" t="n"/>
      <c r="AN46" s="10" t="n"/>
      <c r="AO46" s="11" t="n"/>
      <c r="AP46" s="11" t="n"/>
      <c r="AQ46" s="16" t="n"/>
      <c r="AR46" s="13" t="n"/>
      <c r="AS46" s="13" t="n"/>
      <c r="AT46" s="13" t="n"/>
      <c r="AU46" s="13" t="n"/>
    </row>
    <row r="47" ht="110.1" customFormat="1" customHeight="1" s="14" thickBot="1">
      <c r="A47" s="79" t="n">
        <v>12</v>
      </c>
      <c r="B47" s="213" t="inlineStr">
        <is>
          <t xml:space="preserve">Where?
What?　
How?　
Other info? </t>
        </is>
      </c>
      <c r="C47" s="200" t="n"/>
      <c r="D47" s="200" t="n"/>
      <c r="E47" s="200" t="n"/>
      <c r="F47" s="201" t="n"/>
      <c r="G47" s="4" t="n"/>
      <c r="H47" s="4" t="n"/>
      <c r="I47" s="78" t="n"/>
      <c r="J47" s="15" t="n"/>
      <c r="K47" s="6" t="n"/>
      <c r="L47" s="7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9" t="n"/>
      <c r="AA47" s="8" t="n"/>
      <c r="AB47" s="8" t="n"/>
      <c r="AC47" s="8" t="n"/>
      <c r="AD47" s="8" t="n"/>
      <c r="AE47" s="8" t="n"/>
      <c r="AF47" s="8" t="n"/>
      <c r="AG47" s="9" t="n"/>
      <c r="AH47" s="8" t="n"/>
      <c r="AI47" s="8" t="n"/>
      <c r="AJ47" s="9" t="n"/>
      <c r="AK47" s="56">
        <f>COUNTA(L47:AJ47)</f>
        <v/>
      </c>
      <c r="AL47" s="95" t="n"/>
      <c r="AM47" s="10" t="n"/>
      <c r="AN47" s="10" t="n"/>
      <c r="AO47" s="11" t="n"/>
      <c r="AP47" s="11" t="n"/>
      <c r="AQ47" s="16" t="n"/>
      <c r="AR47" s="13" t="n"/>
      <c r="AS47" s="13" t="n"/>
      <c r="AT47" s="13" t="n"/>
      <c r="AU47" s="13" t="n"/>
    </row>
    <row r="48" ht="110.1" customFormat="1" customHeight="1" s="14" thickBot="1">
      <c r="A48" s="79" t="n">
        <v>13</v>
      </c>
      <c r="B48" s="213" t="inlineStr">
        <is>
          <t xml:space="preserve">Where?
What?　
How?　
Other info? </t>
        </is>
      </c>
      <c r="C48" s="200" t="n"/>
      <c r="D48" s="200" t="n"/>
      <c r="E48" s="200" t="n"/>
      <c r="F48" s="201" t="n"/>
      <c r="G48" s="4" t="n"/>
      <c r="H48" s="4" t="n"/>
      <c r="I48" s="78" t="n"/>
      <c r="J48" s="15" t="n"/>
      <c r="K48" s="6" t="n"/>
      <c r="L48" s="7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9" t="n"/>
      <c r="AA48" s="8" t="n"/>
      <c r="AB48" s="8" t="n"/>
      <c r="AC48" s="8" t="n"/>
      <c r="AD48" s="8" t="n"/>
      <c r="AE48" s="8" t="n"/>
      <c r="AF48" s="8" t="n"/>
      <c r="AG48" s="9" t="n"/>
      <c r="AH48" s="8" t="n"/>
      <c r="AI48" s="8" t="n"/>
      <c r="AJ48" s="9" t="n"/>
      <c r="AK48" s="56">
        <f>COUNTA(L48:AJ48)</f>
        <v/>
      </c>
      <c r="AL48" s="95" t="n"/>
      <c r="AM48" s="10" t="n"/>
      <c r="AN48" s="10" t="n"/>
      <c r="AO48" s="11" t="n"/>
      <c r="AP48" s="11" t="n"/>
      <c r="AQ48" s="16" t="n"/>
      <c r="AR48" s="13" t="n"/>
      <c r="AS48" s="13" t="n"/>
      <c r="AT48" s="13" t="n"/>
      <c r="AU48" s="13" t="n"/>
    </row>
    <row r="49" ht="110.1" customFormat="1" customHeight="1" s="14" thickBot="1">
      <c r="A49" s="79" t="n">
        <v>14</v>
      </c>
      <c r="B49" s="213" t="inlineStr">
        <is>
          <t xml:space="preserve">Where?
What?　
How?　
Other info? </t>
        </is>
      </c>
      <c r="C49" s="200" t="n"/>
      <c r="D49" s="200" t="n"/>
      <c r="E49" s="200" t="n"/>
      <c r="F49" s="201" t="n"/>
      <c r="G49" s="4" t="n"/>
      <c r="H49" s="4" t="n"/>
      <c r="I49" s="78" t="n"/>
      <c r="J49" s="15" t="n"/>
      <c r="K49" s="6" t="n"/>
      <c r="L49" s="7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9" t="n"/>
      <c r="AA49" s="8" t="n"/>
      <c r="AB49" s="8" t="n"/>
      <c r="AC49" s="8" t="n"/>
      <c r="AD49" s="8" t="n"/>
      <c r="AE49" s="8" t="n"/>
      <c r="AF49" s="8" t="n"/>
      <c r="AG49" s="9" t="n"/>
      <c r="AH49" s="8" t="n"/>
      <c r="AI49" s="8" t="n"/>
      <c r="AJ49" s="9" t="n"/>
      <c r="AK49" s="56">
        <f>COUNTA(L49:AJ49)</f>
        <v/>
      </c>
      <c r="AL49" s="95" t="n"/>
      <c r="AM49" s="10" t="n"/>
      <c r="AN49" s="10" t="n"/>
      <c r="AO49" s="11" t="n"/>
      <c r="AP49" s="11" t="n"/>
      <c r="AQ49" s="16" t="n"/>
      <c r="AR49" s="13" t="n"/>
      <c r="AS49" s="13" t="n"/>
      <c r="AT49" s="13" t="n"/>
      <c r="AU49" s="13" t="n"/>
    </row>
    <row r="50" ht="110.1" customFormat="1" customHeight="1" s="14" thickBot="1">
      <c r="A50" s="79" t="n">
        <v>15</v>
      </c>
      <c r="B50" s="213" t="inlineStr">
        <is>
          <t xml:space="preserve">Where?
What?　
How?　
Other info? </t>
        </is>
      </c>
      <c r="C50" s="200" t="n"/>
      <c r="D50" s="200" t="n"/>
      <c r="E50" s="200" t="n"/>
      <c r="F50" s="201" t="n"/>
      <c r="G50" s="4" t="n"/>
      <c r="H50" s="4" t="n"/>
      <c r="I50" s="78" t="n"/>
      <c r="J50" s="15" t="n"/>
      <c r="K50" s="6" t="n"/>
      <c r="L50" s="7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9" t="n"/>
      <c r="AA50" s="8" t="n"/>
      <c r="AB50" s="8" t="n"/>
      <c r="AC50" s="8" t="n"/>
      <c r="AD50" s="8" t="n"/>
      <c r="AE50" s="8" t="n"/>
      <c r="AF50" s="8" t="n"/>
      <c r="AG50" s="9" t="n"/>
      <c r="AH50" s="8" t="n"/>
      <c r="AI50" s="8" t="n"/>
      <c r="AJ50" s="9" t="n"/>
      <c r="AK50" s="56">
        <f>COUNTA(L50:AJ50)</f>
        <v/>
      </c>
      <c r="AL50" s="95" t="n"/>
      <c r="AM50" s="10" t="n"/>
      <c r="AN50" s="10" t="n"/>
      <c r="AO50" s="11" t="n"/>
      <c r="AP50" s="11" t="n"/>
      <c r="AQ50" s="16" t="n"/>
      <c r="AR50" s="13" t="n"/>
      <c r="AS50" s="13" t="n"/>
      <c r="AT50" s="13" t="n"/>
      <c r="AU50" s="13" t="n"/>
    </row>
    <row r="51" ht="110.1" customFormat="1" customHeight="1" s="14" thickBot="1">
      <c r="A51" s="79" t="n">
        <v>16</v>
      </c>
      <c r="B51" s="213" t="inlineStr">
        <is>
          <t xml:space="preserve">Where?
What?　
How?　
Other info? </t>
        </is>
      </c>
      <c r="C51" s="200" t="n"/>
      <c r="D51" s="200" t="n"/>
      <c r="E51" s="200" t="n"/>
      <c r="F51" s="201" t="n"/>
      <c r="G51" s="4" t="n"/>
      <c r="H51" s="4" t="n"/>
      <c r="I51" s="78" t="n"/>
      <c r="J51" s="15" t="n"/>
      <c r="K51" s="6" t="n"/>
      <c r="L51" s="7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9" t="n"/>
      <c r="AA51" s="8" t="n"/>
      <c r="AB51" s="8" t="n"/>
      <c r="AC51" s="8" t="n"/>
      <c r="AD51" s="8" t="n"/>
      <c r="AE51" s="8" t="n"/>
      <c r="AF51" s="8" t="n"/>
      <c r="AG51" s="9" t="n"/>
      <c r="AH51" s="8" t="n"/>
      <c r="AI51" s="8" t="n"/>
      <c r="AJ51" s="9" t="n"/>
      <c r="AK51" s="56">
        <f>COUNTA(L51:AJ51)</f>
        <v/>
      </c>
      <c r="AL51" s="95" t="n"/>
      <c r="AM51" s="10" t="n"/>
      <c r="AN51" s="10" t="n"/>
      <c r="AO51" s="11" t="n"/>
      <c r="AP51" s="11" t="n"/>
      <c r="AQ51" s="16" t="n"/>
      <c r="AR51" s="13" t="n"/>
      <c r="AS51" s="13" t="n"/>
      <c r="AT51" s="13" t="n"/>
      <c r="AU51" s="13" t="n"/>
    </row>
    <row r="52" ht="110.1" customFormat="1" customHeight="1" s="14" thickBot="1">
      <c r="A52" s="79" t="n">
        <v>17</v>
      </c>
      <c r="B52" s="213" t="inlineStr">
        <is>
          <t xml:space="preserve">Where?
What?　
How?　
Other info? </t>
        </is>
      </c>
      <c r="C52" s="200" t="n"/>
      <c r="D52" s="200" t="n"/>
      <c r="E52" s="200" t="n"/>
      <c r="F52" s="201" t="n"/>
      <c r="G52" s="4" t="n"/>
      <c r="H52" s="4" t="n"/>
      <c r="I52" s="78" t="n"/>
      <c r="J52" s="15" t="n"/>
      <c r="K52" s="6" t="n"/>
      <c r="L52" s="7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9" t="n"/>
      <c r="AA52" s="8" t="n"/>
      <c r="AB52" s="8" t="n"/>
      <c r="AC52" s="8" t="n"/>
      <c r="AD52" s="8" t="n"/>
      <c r="AE52" s="8" t="n"/>
      <c r="AF52" s="8" t="n"/>
      <c r="AG52" s="9" t="n"/>
      <c r="AH52" s="8" t="n"/>
      <c r="AI52" s="8" t="n"/>
      <c r="AJ52" s="9" t="n"/>
      <c r="AK52" s="56">
        <f>COUNTA(L52:AJ52)</f>
        <v/>
      </c>
      <c r="AL52" s="95" t="n"/>
      <c r="AM52" s="10" t="n"/>
      <c r="AN52" s="10" t="n"/>
      <c r="AO52" s="11" t="n"/>
      <c r="AP52" s="11" t="n"/>
      <c r="AQ52" s="16" t="n"/>
      <c r="AR52" s="13" t="n"/>
      <c r="AS52" s="13" t="n"/>
      <c r="AT52" s="13" t="n"/>
      <c r="AU52" s="13" t="n"/>
    </row>
    <row r="53" ht="116.25" customFormat="1" customHeight="1" s="14" thickBot="1">
      <c r="A53" s="79" t="n">
        <v>18</v>
      </c>
      <c r="B53" s="213" t="inlineStr">
        <is>
          <t xml:space="preserve">Where?
What?　
How?　
Other info? </t>
        </is>
      </c>
      <c r="C53" s="200" t="n"/>
      <c r="D53" s="200" t="n"/>
      <c r="E53" s="200" t="n"/>
      <c r="F53" s="201" t="n"/>
      <c r="G53" s="4" t="n"/>
      <c r="H53" s="4" t="n"/>
      <c r="I53" s="78" t="n"/>
      <c r="J53" s="15" t="n"/>
      <c r="K53" s="6" t="n"/>
      <c r="L53" s="7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9" t="n"/>
      <c r="AA53" s="8" t="n"/>
      <c r="AB53" s="8" t="n"/>
      <c r="AC53" s="8" t="n"/>
      <c r="AD53" s="8" t="n"/>
      <c r="AE53" s="8" t="n"/>
      <c r="AF53" s="8" t="n"/>
      <c r="AG53" s="9" t="n"/>
      <c r="AH53" s="8" t="n"/>
      <c r="AI53" s="8" t="n"/>
      <c r="AJ53" s="9" t="n"/>
      <c r="AK53" s="56">
        <f>COUNTA(L53:AJ53)</f>
        <v/>
      </c>
      <c r="AL53" s="95" t="n"/>
      <c r="AM53" s="10" t="n"/>
      <c r="AN53" s="10" t="n"/>
      <c r="AO53" s="11" t="n"/>
      <c r="AP53" s="11" t="n"/>
      <c r="AQ53" s="16" t="n"/>
      <c r="AR53" s="13" t="n"/>
      <c r="AS53" s="13" t="n"/>
      <c r="AT53" s="13" t="n"/>
      <c r="AU53" s="13" t="n"/>
    </row>
    <row r="54" ht="110.1" customFormat="1" customHeight="1" s="14" thickBot="1">
      <c r="A54" s="79" t="n">
        <v>19</v>
      </c>
      <c r="B54" s="213" t="inlineStr">
        <is>
          <t xml:space="preserve">Where?
What?　
How?　
Other info? </t>
        </is>
      </c>
      <c r="C54" s="200" t="n"/>
      <c r="D54" s="200" t="n"/>
      <c r="E54" s="200" t="n"/>
      <c r="F54" s="201" t="n"/>
      <c r="G54" s="17" t="n"/>
      <c r="H54" s="4" t="n"/>
      <c r="I54" s="78" t="n"/>
      <c r="J54" s="15" t="n"/>
      <c r="K54" s="6" t="n"/>
      <c r="L54" s="7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9" t="n"/>
      <c r="AA54" s="8" t="n"/>
      <c r="AB54" s="8" t="n"/>
      <c r="AC54" s="8" t="n"/>
      <c r="AD54" s="8" t="n"/>
      <c r="AE54" s="8" t="n"/>
      <c r="AF54" s="8" t="n"/>
      <c r="AG54" s="9" t="n"/>
      <c r="AH54" s="8" t="n"/>
      <c r="AI54" s="8" t="n"/>
      <c r="AJ54" s="9" t="n"/>
      <c r="AK54" s="56">
        <f>COUNTA(L54:AJ54)</f>
        <v/>
      </c>
      <c r="AL54" s="95" t="n"/>
      <c r="AM54" s="10" t="n"/>
      <c r="AN54" s="10" t="n"/>
      <c r="AO54" s="11" t="n"/>
      <c r="AP54" s="11" t="n"/>
      <c r="AQ54" s="16" t="n"/>
      <c r="AR54" s="13" t="n"/>
      <c r="AS54" s="13" t="n"/>
      <c r="AT54" s="13" t="n"/>
      <c r="AU54" s="13" t="n"/>
    </row>
    <row r="55" ht="110.1" customFormat="1" customHeight="1" s="14" thickBot="1">
      <c r="A55" s="79" t="n">
        <v>20</v>
      </c>
      <c r="B55" s="213" t="inlineStr">
        <is>
          <t xml:space="preserve">Where?
What?　
How?　
Other info? </t>
        </is>
      </c>
      <c r="C55" s="200" t="n"/>
      <c r="D55" s="200" t="n"/>
      <c r="E55" s="200" t="n"/>
      <c r="F55" s="201" t="n"/>
      <c r="G55" s="4" t="n"/>
      <c r="H55" s="4" t="n"/>
      <c r="I55" s="78" t="n"/>
      <c r="J55" s="18" t="n"/>
      <c r="K55" s="6" t="n"/>
      <c r="L55" s="7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9" t="n"/>
      <c r="AA55" s="8" t="n"/>
      <c r="AB55" s="8" t="n"/>
      <c r="AC55" s="8" t="n"/>
      <c r="AD55" s="8" t="n"/>
      <c r="AE55" s="8" t="n"/>
      <c r="AF55" s="8" t="n"/>
      <c r="AG55" s="9" t="n"/>
      <c r="AH55" s="8" t="n"/>
      <c r="AI55" s="8" t="n"/>
      <c r="AJ55" s="9" t="n"/>
      <c r="AK55" s="56">
        <f>COUNTA(L55:AJ55)</f>
        <v/>
      </c>
      <c r="AL55" s="95" t="n"/>
      <c r="AM55" s="10" t="n"/>
      <c r="AN55" s="10" t="n"/>
      <c r="AO55" s="11" t="n"/>
      <c r="AP55" s="11" t="n"/>
      <c r="AQ55" s="16" t="n"/>
      <c r="AR55" s="13" t="n"/>
      <c r="AS55" s="13" t="n"/>
      <c r="AT55" s="13" t="n"/>
      <c r="AU55" s="13" t="n"/>
    </row>
    <row r="56" ht="110.1" customHeight="1" s="110" thickBot="1">
      <c r="A56" s="79" t="n">
        <v>21</v>
      </c>
      <c r="B56" s="213" t="inlineStr">
        <is>
          <t xml:space="preserve">Where?
What?　
How?　
Other info? </t>
        </is>
      </c>
      <c r="C56" s="200" t="n"/>
      <c r="D56" s="200" t="n"/>
      <c r="E56" s="200" t="n"/>
      <c r="F56" s="201" t="n"/>
      <c r="G56" s="4" t="n"/>
      <c r="H56" s="4" t="n"/>
      <c r="I56" s="78" t="n"/>
      <c r="J56" s="6" t="n"/>
      <c r="K56" s="6" t="n"/>
      <c r="L56" s="7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9" t="n"/>
      <c r="AA56" s="8" t="n"/>
      <c r="AB56" s="8" t="n"/>
      <c r="AC56" s="8" t="n"/>
      <c r="AD56" s="8" t="n"/>
      <c r="AE56" s="8" t="n"/>
      <c r="AF56" s="8" t="n"/>
      <c r="AG56" s="9" t="n"/>
      <c r="AH56" s="8" t="n"/>
      <c r="AI56" s="8" t="n"/>
      <c r="AJ56" s="9" t="n"/>
      <c r="AK56" s="56">
        <f>COUNTA(L56:AJ56)</f>
        <v/>
      </c>
      <c r="AL56" s="95" t="n"/>
      <c r="AM56" s="10" t="n"/>
      <c r="AN56" s="10" t="n"/>
      <c r="AO56" s="17" t="n"/>
      <c r="AP56" s="19" t="n"/>
      <c r="AQ56" s="20" t="n"/>
      <c r="AR56" s="21" t="n"/>
      <c r="AS56" s="13" t="n"/>
      <c r="AT56" s="13" t="n"/>
      <c r="AU56" s="13" t="n"/>
    </row>
    <row r="57" ht="110.1" customHeight="1" s="110" thickBot="1">
      <c r="A57" s="79" t="n">
        <v>22</v>
      </c>
      <c r="B57" s="213" t="inlineStr">
        <is>
          <t xml:space="preserve">Where?
What?　
How?　
Other info? </t>
        </is>
      </c>
      <c r="C57" s="200" t="n"/>
      <c r="D57" s="200" t="n"/>
      <c r="E57" s="200" t="n"/>
      <c r="F57" s="201" t="n"/>
      <c r="G57" s="4" t="n"/>
      <c r="H57" s="4" t="n"/>
      <c r="I57" s="78" t="n"/>
      <c r="J57" s="6" t="n"/>
      <c r="K57" s="6" t="n"/>
      <c r="L57" s="7" t="n"/>
      <c r="M57" s="8" t="n"/>
      <c r="N57" s="8" t="n"/>
      <c r="O57" s="8" t="n"/>
      <c r="P57" s="23" t="n"/>
      <c r="Q57" s="23" t="n"/>
      <c r="R57" s="8" t="n"/>
      <c r="S57" s="8" t="n"/>
      <c r="T57" s="8" t="n"/>
      <c r="U57" s="8" t="n"/>
      <c r="V57" s="8" t="n"/>
      <c r="W57" s="8" t="n"/>
      <c r="X57" s="8" t="n"/>
      <c r="Y57" s="8" t="n"/>
      <c r="Z57" s="9" t="n"/>
      <c r="AA57" s="8" t="n"/>
      <c r="AB57" s="8" t="n"/>
      <c r="AC57" s="8" t="n"/>
      <c r="AD57" s="8" t="n"/>
      <c r="AE57" s="8" t="n"/>
      <c r="AF57" s="8" t="n"/>
      <c r="AG57" s="9" t="n"/>
      <c r="AH57" s="8" t="n"/>
      <c r="AI57" s="8" t="n"/>
      <c r="AJ57" s="9" t="n"/>
      <c r="AK57" s="56">
        <f>COUNTA(L57:AJ57)</f>
        <v/>
      </c>
      <c r="AL57" s="95" t="n"/>
      <c r="AM57" s="10" t="n"/>
      <c r="AN57" s="10" t="n"/>
      <c r="AO57" s="17" t="n"/>
      <c r="AP57" s="19" t="n"/>
      <c r="AQ57" s="20" t="n"/>
      <c r="AR57" s="21" t="n"/>
      <c r="AS57" s="13" t="n"/>
      <c r="AT57" s="13" t="n"/>
      <c r="AU57" s="13" t="n"/>
    </row>
    <row r="58" ht="110.1" customHeight="1" s="110" thickBot="1">
      <c r="A58" s="79" t="n">
        <v>23</v>
      </c>
      <c r="B58" s="213" t="inlineStr">
        <is>
          <t xml:space="preserve">Where?
What?　
How?　
Other info? </t>
        </is>
      </c>
      <c r="C58" s="200" t="n"/>
      <c r="D58" s="200" t="n"/>
      <c r="E58" s="200" t="n"/>
      <c r="F58" s="201" t="n"/>
      <c r="G58" s="4" t="n"/>
      <c r="H58" s="4" t="n"/>
      <c r="I58" s="78" t="n"/>
      <c r="J58" s="6" t="n"/>
      <c r="K58" s="6" t="n"/>
      <c r="L58" s="7" t="n"/>
      <c r="M58" s="8" t="n"/>
      <c r="N58" s="8" t="n"/>
      <c r="O58" s="8" t="n"/>
      <c r="P58" s="23" t="n"/>
      <c r="Q58" s="23" t="n"/>
      <c r="R58" s="8" t="n"/>
      <c r="S58" s="8" t="n"/>
      <c r="T58" s="8" t="n"/>
      <c r="U58" s="8" t="n"/>
      <c r="V58" s="8" t="n"/>
      <c r="W58" s="8" t="n"/>
      <c r="X58" s="8" t="n"/>
      <c r="Y58" s="8" t="n"/>
      <c r="Z58" s="9" t="n"/>
      <c r="AA58" s="8" t="n"/>
      <c r="AB58" s="8" t="n"/>
      <c r="AC58" s="8" t="n"/>
      <c r="AD58" s="8" t="n"/>
      <c r="AE58" s="8" t="n"/>
      <c r="AF58" s="8" t="n"/>
      <c r="AG58" s="9" t="n"/>
      <c r="AH58" s="8" t="n"/>
      <c r="AI58" s="8" t="n"/>
      <c r="AJ58" s="9" t="n"/>
      <c r="AK58" s="56">
        <f>COUNTA(L58:AJ58)</f>
        <v/>
      </c>
      <c r="AL58" s="95" t="n"/>
      <c r="AM58" s="10" t="n"/>
      <c r="AN58" s="10" t="n"/>
      <c r="AO58" s="21" t="n"/>
      <c r="AP58" s="21" t="n"/>
      <c r="AQ58" s="21" t="n"/>
      <c r="AR58" s="21" t="n"/>
      <c r="AS58" s="13" t="n"/>
      <c r="AT58" s="13" t="n"/>
      <c r="AU58" s="13" t="n"/>
    </row>
    <row r="59" ht="110.1" customHeight="1" s="110" thickBot="1">
      <c r="A59" s="79" t="n">
        <v>24</v>
      </c>
      <c r="B59" s="213" t="inlineStr">
        <is>
          <t xml:space="preserve">Where?
What?　
How?　
Other info? </t>
        </is>
      </c>
      <c r="C59" s="200" t="n"/>
      <c r="D59" s="200" t="n"/>
      <c r="E59" s="200" t="n"/>
      <c r="F59" s="201" t="n"/>
      <c r="G59" s="4" t="n"/>
      <c r="H59" s="4" t="n"/>
      <c r="I59" s="78" t="n"/>
      <c r="J59" s="6" t="n"/>
      <c r="K59" s="6" t="n"/>
      <c r="L59" s="7" t="n"/>
      <c r="M59" s="8" t="n"/>
      <c r="N59" s="8" t="n"/>
      <c r="O59" s="8" t="n"/>
      <c r="P59" s="23" t="n"/>
      <c r="Q59" s="23" t="n"/>
      <c r="R59" s="8" t="n"/>
      <c r="S59" s="8" t="n"/>
      <c r="T59" s="8" t="n"/>
      <c r="U59" s="8" t="n"/>
      <c r="V59" s="8" t="n"/>
      <c r="W59" s="8" t="n"/>
      <c r="X59" s="8" t="n"/>
      <c r="Y59" s="8" t="n"/>
      <c r="Z59" s="9" t="n"/>
      <c r="AA59" s="8" t="n"/>
      <c r="AB59" s="8" t="n"/>
      <c r="AC59" s="8" t="n"/>
      <c r="AD59" s="8" t="n"/>
      <c r="AE59" s="8" t="n"/>
      <c r="AF59" s="8" t="n"/>
      <c r="AG59" s="9" t="n"/>
      <c r="AH59" s="8" t="n"/>
      <c r="AI59" s="8" t="n"/>
      <c r="AJ59" s="9" t="n"/>
      <c r="AK59" s="56">
        <f>COUNTA(L59:AJ59)</f>
        <v/>
      </c>
      <c r="AL59" s="95" t="n"/>
      <c r="AM59" s="10" t="n"/>
      <c r="AN59" s="10" t="n"/>
      <c r="AO59" s="21" t="n"/>
      <c r="AP59" s="21" t="n"/>
      <c r="AQ59" s="21" t="n"/>
      <c r="AR59" s="21" t="n"/>
      <c r="AS59" s="13" t="n"/>
      <c r="AT59" s="13" t="n"/>
      <c r="AU59" s="13" t="n"/>
    </row>
    <row r="60" ht="110.1" customHeight="1" s="110" thickBot="1">
      <c r="A60" s="79" t="n">
        <v>25</v>
      </c>
      <c r="B60" s="213" t="inlineStr">
        <is>
          <t xml:space="preserve">Where?
What?　
How?　
Other info? </t>
        </is>
      </c>
      <c r="C60" s="200" t="n"/>
      <c r="D60" s="200" t="n"/>
      <c r="E60" s="200" t="n"/>
      <c r="F60" s="201" t="n"/>
      <c r="G60" s="4" t="n"/>
      <c r="H60" s="4" t="n"/>
      <c r="I60" s="78" t="n"/>
      <c r="J60" s="6" t="n"/>
      <c r="K60" s="6" t="n"/>
      <c r="L60" s="7" t="n"/>
      <c r="M60" s="8" t="n"/>
      <c r="N60" s="8" t="n"/>
      <c r="O60" s="8" t="n"/>
      <c r="P60" s="23" t="n"/>
      <c r="Q60" s="23" t="n"/>
      <c r="R60" s="8" t="n"/>
      <c r="S60" s="8" t="n"/>
      <c r="T60" s="8" t="n"/>
      <c r="U60" s="8" t="n"/>
      <c r="V60" s="8" t="n"/>
      <c r="W60" s="8" t="n"/>
      <c r="X60" s="8" t="n"/>
      <c r="Y60" s="8" t="n"/>
      <c r="Z60" s="9" t="n"/>
      <c r="AA60" s="8" t="n"/>
      <c r="AB60" s="8" t="n"/>
      <c r="AC60" s="8" t="n"/>
      <c r="AD60" s="8" t="n"/>
      <c r="AE60" s="8" t="n"/>
      <c r="AF60" s="8" t="n"/>
      <c r="AG60" s="9" t="n"/>
      <c r="AH60" s="8" t="n"/>
      <c r="AI60" s="8" t="n"/>
      <c r="AJ60" s="9" t="n"/>
      <c r="AK60" s="56">
        <f>COUNTA(L60:AJ60)</f>
        <v/>
      </c>
      <c r="AL60" s="95" t="n"/>
      <c r="AM60" s="10" t="n"/>
      <c r="AN60" s="10" t="n"/>
      <c r="AO60" s="21" t="n"/>
      <c r="AP60" s="21" t="n"/>
      <c r="AQ60" s="21" t="n"/>
      <c r="AR60" s="21" t="n"/>
      <c r="AS60" s="13" t="n"/>
      <c r="AT60" s="13" t="n"/>
      <c r="AU60" s="13" t="n"/>
    </row>
    <row r="61" ht="110.1" customHeight="1" s="110" thickBot="1">
      <c r="A61" s="79" t="n">
        <v>26</v>
      </c>
      <c r="B61" s="213" t="inlineStr">
        <is>
          <t xml:space="preserve">Where?
What?　
How?　
Other info? </t>
        </is>
      </c>
      <c r="C61" s="200" t="n"/>
      <c r="D61" s="200" t="n"/>
      <c r="E61" s="200" t="n"/>
      <c r="F61" s="201" t="n"/>
      <c r="G61" s="4" t="n"/>
      <c r="H61" s="4" t="n"/>
      <c r="I61" s="78" t="n"/>
      <c r="J61" s="6" t="n"/>
      <c r="K61" s="6" t="n"/>
      <c r="L61" s="7" t="n"/>
      <c r="M61" s="8" t="n"/>
      <c r="N61" s="8" t="n"/>
      <c r="O61" s="8" t="n"/>
      <c r="P61" s="23" t="n"/>
      <c r="Q61" s="23" t="n"/>
      <c r="R61" s="8" t="n"/>
      <c r="S61" s="8" t="n"/>
      <c r="T61" s="8" t="n"/>
      <c r="U61" s="8" t="n"/>
      <c r="V61" s="8" t="n"/>
      <c r="W61" s="8" t="n"/>
      <c r="X61" s="8" t="n"/>
      <c r="Y61" s="8" t="n"/>
      <c r="Z61" s="9" t="n"/>
      <c r="AA61" s="8" t="n"/>
      <c r="AB61" s="8" t="n"/>
      <c r="AC61" s="8" t="n"/>
      <c r="AD61" s="8" t="n"/>
      <c r="AE61" s="8" t="n"/>
      <c r="AF61" s="8" t="n"/>
      <c r="AG61" s="9" t="n"/>
      <c r="AH61" s="8" t="n"/>
      <c r="AI61" s="8" t="n"/>
      <c r="AJ61" s="9" t="n"/>
      <c r="AK61" s="56">
        <f>COUNTA(L61:AJ61)</f>
        <v/>
      </c>
      <c r="AL61" s="95" t="n"/>
      <c r="AM61" s="10" t="n"/>
      <c r="AN61" s="10" t="n"/>
      <c r="AO61" s="21" t="n"/>
      <c r="AP61" s="21" t="n"/>
      <c r="AQ61" s="21" t="n"/>
      <c r="AR61" s="21" t="n"/>
      <c r="AS61" s="13" t="n"/>
      <c r="AT61" s="13" t="n"/>
      <c r="AU61" s="13" t="n"/>
    </row>
    <row r="62" ht="110.1" customHeight="1" s="110" thickBot="1">
      <c r="A62" s="79" t="n">
        <v>27</v>
      </c>
      <c r="B62" s="213" t="inlineStr">
        <is>
          <t xml:space="preserve">Where?
What?　
How?　
Other info? </t>
        </is>
      </c>
      <c r="C62" s="200" t="n"/>
      <c r="D62" s="200" t="n"/>
      <c r="E62" s="200" t="n"/>
      <c r="F62" s="201" t="n"/>
      <c r="G62" s="4" t="n"/>
      <c r="H62" s="4" t="n"/>
      <c r="I62" s="78" t="n"/>
      <c r="J62" s="6" t="n"/>
      <c r="K62" s="6" t="n"/>
      <c r="L62" s="7" t="n"/>
      <c r="M62" s="8" t="n"/>
      <c r="N62" s="8" t="n"/>
      <c r="O62" s="8" t="n"/>
      <c r="P62" s="23" t="n"/>
      <c r="Q62" s="23" t="n"/>
      <c r="R62" s="8" t="n"/>
      <c r="S62" s="8" t="n"/>
      <c r="T62" s="8" t="n"/>
      <c r="U62" s="8" t="n"/>
      <c r="V62" s="8" t="n"/>
      <c r="W62" s="8" t="n"/>
      <c r="X62" s="8" t="n"/>
      <c r="Y62" s="8" t="n"/>
      <c r="Z62" s="9" t="n"/>
      <c r="AA62" s="8" t="n"/>
      <c r="AB62" s="8" t="n"/>
      <c r="AC62" s="8" t="n"/>
      <c r="AD62" s="8" t="n"/>
      <c r="AE62" s="8" t="n"/>
      <c r="AF62" s="8" t="n"/>
      <c r="AG62" s="9" t="n"/>
      <c r="AH62" s="8" t="n"/>
      <c r="AI62" s="8" t="n"/>
      <c r="AJ62" s="9" t="n"/>
      <c r="AK62" s="56">
        <f>COUNTA(L62:AJ62)</f>
        <v/>
      </c>
      <c r="AL62" s="95" t="n"/>
      <c r="AM62" s="10" t="n"/>
      <c r="AN62" s="10" t="n"/>
      <c r="AO62" s="21" t="n"/>
      <c r="AP62" s="21" t="n"/>
      <c r="AQ62" s="21" t="n"/>
      <c r="AR62" s="21" t="n"/>
      <c r="AS62" s="13" t="n"/>
      <c r="AT62" s="13" t="n"/>
      <c r="AU62" s="13" t="n"/>
    </row>
    <row r="63" ht="110.1" customHeight="1" s="110" thickBot="1">
      <c r="A63" s="79" t="n">
        <v>28</v>
      </c>
      <c r="B63" s="213" t="inlineStr">
        <is>
          <t xml:space="preserve">Where?
What?　
How?　
Other info? </t>
        </is>
      </c>
      <c r="C63" s="200" t="n"/>
      <c r="D63" s="200" t="n"/>
      <c r="E63" s="200" t="n"/>
      <c r="F63" s="201" t="n"/>
      <c r="G63" s="4" t="n"/>
      <c r="H63" s="4" t="n"/>
      <c r="I63" s="78" t="n"/>
      <c r="J63" s="6" t="n"/>
      <c r="K63" s="6" t="n"/>
      <c r="L63" s="7" t="n"/>
      <c r="M63" s="8" t="n"/>
      <c r="N63" s="8" t="n"/>
      <c r="O63" s="8" t="n"/>
      <c r="P63" s="23" t="n"/>
      <c r="Q63" s="23" t="n"/>
      <c r="R63" s="8" t="n"/>
      <c r="S63" s="8" t="n"/>
      <c r="T63" s="8" t="n"/>
      <c r="U63" s="8" t="n"/>
      <c r="V63" s="8" t="n"/>
      <c r="W63" s="8" t="n"/>
      <c r="X63" s="8" t="n"/>
      <c r="Y63" s="8" t="n"/>
      <c r="Z63" s="9" t="n"/>
      <c r="AA63" s="8" t="n"/>
      <c r="AB63" s="8" t="n"/>
      <c r="AC63" s="8" t="n"/>
      <c r="AD63" s="8" t="n"/>
      <c r="AE63" s="8" t="n"/>
      <c r="AF63" s="8" t="n"/>
      <c r="AG63" s="9" t="n"/>
      <c r="AH63" s="8" t="n"/>
      <c r="AI63" s="8" t="n"/>
      <c r="AJ63" s="9" t="n"/>
      <c r="AK63" s="56">
        <f>COUNTA(L63:AJ63)</f>
        <v/>
      </c>
      <c r="AL63" s="95" t="n"/>
      <c r="AM63" s="10" t="n"/>
      <c r="AN63" s="10" t="n"/>
      <c r="AO63" s="21" t="n"/>
      <c r="AP63" s="21" t="n"/>
      <c r="AQ63" s="21" t="n"/>
      <c r="AR63" s="21" t="n"/>
      <c r="AS63" s="13" t="n"/>
      <c r="AT63" s="13" t="n"/>
      <c r="AU63" s="13" t="n"/>
    </row>
    <row r="64" ht="110.1" customHeight="1" s="110" thickBot="1">
      <c r="A64" s="79" t="n">
        <v>29</v>
      </c>
      <c r="B64" s="213" t="inlineStr">
        <is>
          <t xml:space="preserve">Where?
What?　
How?　
Other info? </t>
        </is>
      </c>
      <c r="C64" s="200" t="n"/>
      <c r="D64" s="200" t="n"/>
      <c r="E64" s="200" t="n"/>
      <c r="F64" s="201" t="n"/>
      <c r="G64" s="4" t="n"/>
      <c r="H64" s="4" t="n"/>
      <c r="I64" s="78" t="n"/>
      <c r="J64" s="6" t="n"/>
      <c r="K64" s="6" t="n"/>
      <c r="L64" s="7" t="n"/>
      <c r="M64" s="8" t="n"/>
      <c r="N64" s="8" t="n"/>
      <c r="O64" s="8" t="n"/>
      <c r="P64" s="23" t="n"/>
      <c r="Q64" s="23" t="n"/>
      <c r="R64" s="8" t="n"/>
      <c r="S64" s="8" t="n"/>
      <c r="T64" s="8" t="n"/>
      <c r="U64" s="8" t="n"/>
      <c r="V64" s="8" t="n"/>
      <c r="W64" s="8" t="n"/>
      <c r="X64" s="8" t="n"/>
      <c r="Y64" s="8" t="n"/>
      <c r="Z64" s="9" t="n"/>
      <c r="AA64" s="8" t="n"/>
      <c r="AB64" s="8" t="n"/>
      <c r="AC64" s="8" t="n"/>
      <c r="AD64" s="8" t="n"/>
      <c r="AE64" s="8" t="n"/>
      <c r="AF64" s="8" t="n"/>
      <c r="AG64" s="9" t="n"/>
      <c r="AH64" s="8" t="n"/>
      <c r="AI64" s="8" t="n"/>
      <c r="AJ64" s="9" t="n"/>
      <c r="AK64" s="56">
        <f>COUNTA(L64:AJ64)</f>
        <v/>
      </c>
      <c r="AL64" s="95" t="n"/>
      <c r="AM64" s="10" t="n"/>
      <c r="AN64" s="10" t="n"/>
      <c r="AO64" s="21" t="n"/>
      <c r="AP64" s="21" t="n"/>
      <c r="AQ64" s="21" t="n"/>
      <c r="AR64" s="21" t="n"/>
      <c r="AS64" s="13" t="n"/>
      <c r="AT64" s="13" t="n"/>
      <c r="AU64" s="13" t="n"/>
    </row>
    <row r="65" ht="110.1" customHeight="1" s="110" thickBot="1">
      <c r="A65" s="79" t="n">
        <v>30</v>
      </c>
      <c r="B65" s="213" t="inlineStr">
        <is>
          <t xml:space="preserve">Where?
What?　
How?　
Other info? </t>
        </is>
      </c>
      <c r="C65" s="200" t="n"/>
      <c r="D65" s="200" t="n"/>
      <c r="E65" s="200" t="n"/>
      <c r="F65" s="201" t="n"/>
      <c r="G65" s="4" t="n"/>
      <c r="H65" s="4" t="n"/>
      <c r="I65" s="78" t="n"/>
      <c r="J65" s="6" t="n"/>
      <c r="K65" s="6" t="n"/>
      <c r="L65" s="7" t="n"/>
      <c r="M65" s="8" t="n"/>
      <c r="N65" s="8" t="n"/>
      <c r="O65" s="8" t="n"/>
      <c r="P65" s="23" t="n"/>
      <c r="Q65" s="23" t="n"/>
      <c r="R65" s="8" t="n"/>
      <c r="S65" s="8" t="n"/>
      <c r="T65" s="8" t="n"/>
      <c r="U65" s="8" t="n"/>
      <c r="V65" s="8" t="n"/>
      <c r="W65" s="8" t="n"/>
      <c r="X65" s="8" t="n"/>
      <c r="Y65" s="8" t="n"/>
      <c r="Z65" s="9" t="n"/>
      <c r="AA65" s="8" t="n"/>
      <c r="AB65" s="8" t="n"/>
      <c r="AC65" s="8" t="n"/>
      <c r="AD65" s="8" t="n"/>
      <c r="AE65" s="8" t="n"/>
      <c r="AF65" s="8" t="n"/>
      <c r="AG65" s="9" t="n"/>
      <c r="AH65" s="8" t="n"/>
      <c r="AI65" s="8" t="n"/>
      <c r="AJ65" s="9" t="n"/>
      <c r="AK65" s="56">
        <f>COUNTA(L65:AJ65)</f>
        <v/>
      </c>
      <c r="AL65" s="95" t="n"/>
      <c r="AM65" s="10" t="n"/>
      <c r="AN65" s="10" t="n"/>
      <c r="AO65" s="21" t="n"/>
      <c r="AP65" s="21" t="n"/>
      <c r="AQ65" s="21" t="n"/>
      <c r="AR65" s="21" t="n"/>
      <c r="AS65" s="13" t="n"/>
      <c r="AT65" s="13" t="n"/>
      <c r="AU65" s="13" t="n"/>
    </row>
    <row r="66" ht="110.1" customHeight="1" s="110" thickBot="1">
      <c r="A66" s="79" t="n">
        <v>31</v>
      </c>
      <c r="B66" s="213" t="inlineStr">
        <is>
          <t xml:space="preserve">Where?
What?　
How?　
Other info? </t>
        </is>
      </c>
      <c r="C66" s="200" t="n"/>
      <c r="D66" s="200" t="n"/>
      <c r="E66" s="200" t="n"/>
      <c r="F66" s="201" t="n"/>
      <c r="G66" s="4" t="n"/>
      <c r="H66" s="4" t="n"/>
      <c r="I66" s="78" t="n"/>
      <c r="J66" s="6" t="n"/>
      <c r="K66" s="6" t="n"/>
      <c r="L66" s="7" t="n"/>
      <c r="M66" s="8" t="n"/>
      <c r="N66" s="8" t="n"/>
      <c r="O66" s="8" t="n"/>
      <c r="P66" s="23" t="n"/>
      <c r="Q66" s="23" t="n"/>
      <c r="R66" s="8" t="n"/>
      <c r="S66" s="8" t="n"/>
      <c r="T66" s="8" t="n"/>
      <c r="U66" s="8" t="n"/>
      <c r="V66" s="8" t="n"/>
      <c r="W66" s="8" t="n"/>
      <c r="X66" s="8" t="n"/>
      <c r="Y66" s="8" t="n"/>
      <c r="Z66" s="9" t="n"/>
      <c r="AA66" s="8" t="n"/>
      <c r="AB66" s="8" t="n"/>
      <c r="AC66" s="8" t="n"/>
      <c r="AD66" s="8" t="n"/>
      <c r="AE66" s="8" t="n"/>
      <c r="AF66" s="8" t="n"/>
      <c r="AG66" s="9" t="n"/>
      <c r="AH66" s="8" t="n"/>
      <c r="AI66" s="8" t="n"/>
      <c r="AJ66" s="9" t="n"/>
      <c r="AK66" s="56">
        <f>COUNTA(L66:AJ66)</f>
        <v/>
      </c>
      <c r="AL66" s="95" t="n"/>
      <c r="AM66" s="10" t="n"/>
      <c r="AN66" s="10" t="n"/>
      <c r="AO66" s="21" t="n"/>
      <c r="AP66" s="21" t="n"/>
      <c r="AQ66" s="21" t="n"/>
      <c r="AR66" s="21" t="n"/>
      <c r="AS66" s="13" t="n"/>
      <c r="AT66" s="13" t="n"/>
      <c r="AU66" s="13" t="n"/>
    </row>
    <row r="67" ht="110.1" customFormat="1" customHeight="1" s="14" thickBot="1">
      <c r="A67" s="79" t="n">
        <v>32</v>
      </c>
      <c r="B67" s="213" t="inlineStr">
        <is>
          <t xml:space="preserve">Where?
What?　
How?　
Other info? </t>
        </is>
      </c>
      <c r="C67" s="200" t="n"/>
      <c r="D67" s="200" t="n"/>
      <c r="E67" s="200" t="n"/>
      <c r="F67" s="201" t="n"/>
      <c r="G67" s="4" t="n"/>
      <c r="H67" s="4" t="n"/>
      <c r="I67" s="78" t="n"/>
      <c r="J67" s="15" t="n"/>
      <c r="K67" s="6" t="n"/>
      <c r="L67" s="7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9" t="n"/>
      <c r="AA67" s="8" t="n"/>
      <c r="AB67" s="8" t="n"/>
      <c r="AC67" s="8" t="n"/>
      <c r="AD67" s="8" t="n"/>
      <c r="AE67" s="8" t="n"/>
      <c r="AF67" s="8" t="n"/>
      <c r="AG67" s="9" t="n"/>
      <c r="AH67" s="8" t="n"/>
      <c r="AI67" s="8" t="n"/>
      <c r="AJ67" s="9" t="n"/>
      <c r="AK67" s="56">
        <f>COUNTA(L67:AJ67)</f>
        <v/>
      </c>
      <c r="AL67" s="95" t="n"/>
      <c r="AM67" s="10" t="n"/>
      <c r="AN67" s="10" t="n"/>
      <c r="AO67" s="11" t="n"/>
      <c r="AP67" s="11" t="n"/>
      <c r="AQ67" s="16" t="n"/>
      <c r="AR67" s="13" t="n"/>
      <c r="AS67" s="13" t="n"/>
      <c r="AT67" s="13" t="n"/>
      <c r="AU67" s="13" t="n"/>
    </row>
    <row r="68" ht="110.1" customFormat="1" customHeight="1" s="14" thickBot="1">
      <c r="A68" s="79" t="n">
        <v>33</v>
      </c>
      <c r="B68" s="213" t="inlineStr">
        <is>
          <t xml:space="preserve">Where?
What?　
How?　
Other info? </t>
        </is>
      </c>
      <c r="C68" s="200" t="n"/>
      <c r="D68" s="200" t="n"/>
      <c r="E68" s="200" t="n"/>
      <c r="F68" s="201" t="n"/>
      <c r="G68" s="4" t="n"/>
      <c r="H68" s="4" t="n"/>
      <c r="I68" s="78" t="n"/>
      <c r="J68" s="15" t="n"/>
      <c r="K68" s="6" t="n"/>
      <c r="L68" s="7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9" t="n"/>
      <c r="AA68" s="8" t="n"/>
      <c r="AB68" s="8" t="n"/>
      <c r="AC68" s="8" t="n"/>
      <c r="AD68" s="8" t="n"/>
      <c r="AE68" s="8" t="n"/>
      <c r="AF68" s="8" t="n"/>
      <c r="AG68" s="9" t="n"/>
      <c r="AH68" s="8" t="n"/>
      <c r="AI68" s="8" t="n"/>
      <c r="AJ68" s="9" t="n"/>
      <c r="AK68" s="56">
        <f>COUNTA(L68:AJ68)</f>
        <v/>
      </c>
      <c r="AL68" s="95" t="n"/>
      <c r="AM68" s="10" t="n"/>
      <c r="AN68" s="10" t="n"/>
      <c r="AO68" s="11" t="n"/>
      <c r="AP68" s="11" t="n"/>
      <c r="AQ68" s="16" t="n"/>
      <c r="AR68" s="13" t="n"/>
      <c r="AS68" s="13" t="n"/>
      <c r="AT68" s="13" t="n"/>
      <c r="AU68" s="13" t="n"/>
    </row>
    <row r="69" ht="110.1" customFormat="1" customHeight="1" s="14" thickBot="1">
      <c r="A69" s="79" t="n">
        <v>34</v>
      </c>
      <c r="B69" s="213" t="inlineStr">
        <is>
          <t xml:space="preserve">Where?
What?　
How?　
Other info? </t>
        </is>
      </c>
      <c r="C69" s="200" t="n"/>
      <c r="D69" s="200" t="n"/>
      <c r="E69" s="200" t="n"/>
      <c r="F69" s="201" t="n"/>
      <c r="G69" s="4" t="n"/>
      <c r="H69" s="4" t="n"/>
      <c r="I69" s="78" t="n"/>
      <c r="J69" s="15" t="n"/>
      <c r="K69" s="6" t="n"/>
      <c r="L69" s="7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9" t="n"/>
      <c r="AA69" s="8" t="n"/>
      <c r="AB69" s="8" t="n"/>
      <c r="AC69" s="8" t="n"/>
      <c r="AD69" s="8" t="n"/>
      <c r="AE69" s="8" t="n"/>
      <c r="AF69" s="8" t="n"/>
      <c r="AG69" s="9" t="n"/>
      <c r="AH69" s="8" t="n"/>
      <c r="AI69" s="8" t="n"/>
      <c r="AJ69" s="9" t="n"/>
      <c r="AK69" s="56">
        <f>COUNTA(L69:AJ69)</f>
        <v/>
      </c>
      <c r="AL69" s="95" t="n"/>
      <c r="AM69" s="10" t="n"/>
      <c r="AN69" s="10" t="n"/>
      <c r="AO69" s="11" t="n"/>
      <c r="AP69" s="11" t="n"/>
      <c r="AQ69" s="16" t="n"/>
      <c r="AR69" s="13" t="n"/>
      <c r="AS69" s="13" t="n"/>
      <c r="AT69" s="13" t="n"/>
      <c r="AU69" s="13" t="n"/>
    </row>
    <row r="70" ht="110.1" customFormat="1" customHeight="1" s="14" thickBot="1">
      <c r="A70" s="79" t="n">
        <v>35</v>
      </c>
      <c r="B70" s="213" t="inlineStr">
        <is>
          <t xml:space="preserve">Where?
What?　
How?　
Other info? </t>
        </is>
      </c>
      <c r="C70" s="200" t="n"/>
      <c r="D70" s="200" t="n"/>
      <c r="E70" s="200" t="n"/>
      <c r="F70" s="201" t="n"/>
      <c r="G70" s="4" t="n"/>
      <c r="H70" s="4" t="n"/>
      <c r="I70" s="78" t="n"/>
      <c r="J70" s="15" t="n"/>
      <c r="K70" s="6" t="n"/>
      <c r="L70" s="7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9" t="n"/>
      <c r="AA70" s="8" t="n"/>
      <c r="AB70" s="8" t="n"/>
      <c r="AC70" s="8" t="n"/>
      <c r="AD70" s="8" t="n"/>
      <c r="AE70" s="8" t="n"/>
      <c r="AF70" s="8" t="n"/>
      <c r="AG70" s="9" t="n"/>
      <c r="AH70" s="8" t="n"/>
      <c r="AI70" s="8" t="n"/>
      <c r="AJ70" s="9" t="n"/>
      <c r="AK70" s="56">
        <f>COUNTA(L70:AJ70)</f>
        <v/>
      </c>
      <c r="AL70" s="95" t="n"/>
      <c r="AM70" s="10" t="n"/>
      <c r="AN70" s="10" t="n"/>
      <c r="AO70" s="11" t="n"/>
      <c r="AP70" s="11" t="n"/>
      <c r="AQ70" s="16" t="n"/>
      <c r="AR70" s="13" t="n"/>
      <c r="AS70" s="13" t="n"/>
      <c r="AT70" s="13" t="n"/>
      <c r="AU70" s="13" t="n"/>
    </row>
    <row r="71" ht="110.1" customFormat="1" customHeight="1" s="14" thickBot="1">
      <c r="A71" s="79" t="n">
        <v>36</v>
      </c>
      <c r="B71" s="213" t="inlineStr">
        <is>
          <t xml:space="preserve">Where?
What?　
How?　
Other info? </t>
        </is>
      </c>
      <c r="C71" s="200" t="n"/>
      <c r="D71" s="200" t="n"/>
      <c r="E71" s="200" t="n"/>
      <c r="F71" s="201" t="n"/>
      <c r="G71" s="4" t="n"/>
      <c r="H71" s="4" t="n"/>
      <c r="I71" s="78" t="n"/>
      <c r="J71" s="15" t="n"/>
      <c r="K71" s="6" t="n"/>
      <c r="L71" s="7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9" t="n"/>
      <c r="AA71" s="8" t="n"/>
      <c r="AB71" s="8" t="n"/>
      <c r="AC71" s="8" t="n"/>
      <c r="AD71" s="8" t="n"/>
      <c r="AE71" s="8" t="n"/>
      <c r="AF71" s="8" t="n"/>
      <c r="AG71" s="9" t="n"/>
      <c r="AH71" s="8" t="n"/>
      <c r="AI71" s="8" t="n"/>
      <c r="AJ71" s="9" t="n"/>
      <c r="AK71" s="56">
        <f>COUNTA(L71:AJ71)</f>
        <v/>
      </c>
      <c r="AL71" s="95" t="n"/>
      <c r="AM71" s="10" t="n"/>
      <c r="AN71" s="10" t="n"/>
      <c r="AO71" s="11" t="n"/>
      <c r="AP71" s="11" t="n"/>
      <c r="AQ71" s="16" t="n"/>
      <c r="AR71" s="13" t="n"/>
      <c r="AS71" s="13" t="n"/>
      <c r="AT71" s="13" t="n"/>
      <c r="AU71" s="13" t="n"/>
    </row>
    <row r="72" ht="110.1" customFormat="1" customHeight="1" s="14" thickBot="1">
      <c r="A72" s="79" t="n">
        <v>37</v>
      </c>
      <c r="B72" s="213" t="inlineStr">
        <is>
          <t xml:space="preserve">Where?
What?　
How?　
Other info? </t>
        </is>
      </c>
      <c r="C72" s="200" t="n"/>
      <c r="D72" s="200" t="n"/>
      <c r="E72" s="200" t="n"/>
      <c r="F72" s="201" t="n"/>
      <c r="G72" s="4" t="n"/>
      <c r="H72" s="4" t="n"/>
      <c r="I72" s="78" t="n"/>
      <c r="J72" s="15" t="n"/>
      <c r="K72" s="6" t="n"/>
      <c r="L72" s="7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9" t="n"/>
      <c r="AA72" s="8" t="n"/>
      <c r="AB72" s="8" t="n"/>
      <c r="AC72" s="8" t="n"/>
      <c r="AD72" s="8" t="n"/>
      <c r="AE72" s="8" t="n"/>
      <c r="AF72" s="8" t="n"/>
      <c r="AG72" s="9" t="n"/>
      <c r="AH72" s="8" t="n"/>
      <c r="AI72" s="8" t="n"/>
      <c r="AJ72" s="9" t="n"/>
      <c r="AK72" s="56">
        <f>COUNTA(L72:AJ72)</f>
        <v/>
      </c>
      <c r="AL72" s="95" t="n"/>
      <c r="AM72" s="10" t="n"/>
      <c r="AN72" s="10" t="n"/>
      <c r="AO72" s="11" t="n"/>
      <c r="AP72" s="11" t="n"/>
      <c r="AQ72" s="16" t="n"/>
      <c r="AR72" s="13" t="n"/>
      <c r="AS72" s="13" t="n"/>
      <c r="AT72" s="13" t="n"/>
      <c r="AU72" s="13" t="n"/>
    </row>
    <row r="73" ht="110.1" customFormat="1" customHeight="1" s="14" thickBot="1">
      <c r="A73" s="79" t="n">
        <v>38</v>
      </c>
      <c r="B73" s="213" t="inlineStr">
        <is>
          <t xml:space="preserve">Where?
What?　
How?　
Other info? </t>
        </is>
      </c>
      <c r="C73" s="200" t="n"/>
      <c r="D73" s="200" t="n"/>
      <c r="E73" s="200" t="n"/>
      <c r="F73" s="201" t="n"/>
      <c r="G73" s="4" t="n"/>
      <c r="H73" s="4" t="n"/>
      <c r="I73" s="78" t="n"/>
      <c r="J73" s="15" t="n"/>
      <c r="K73" s="6" t="n"/>
      <c r="L73" s="7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9" t="n"/>
      <c r="AA73" s="8" t="n"/>
      <c r="AB73" s="8" t="n"/>
      <c r="AC73" s="8" t="n"/>
      <c r="AD73" s="8" t="n"/>
      <c r="AE73" s="8" t="n"/>
      <c r="AF73" s="8" t="n"/>
      <c r="AG73" s="9" t="n"/>
      <c r="AH73" s="8" t="n"/>
      <c r="AI73" s="8" t="n"/>
      <c r="AJ73" s="9" t="n"/>
      <c r="AK73" s="56">
        <f>COUNTA(L73:AJ73)</f>
        <v/>
      </c>
      <c r="AL73" s="95" t="n"/>
      <c r="AM73" s="10" t="n"/>
      <c r="AN73" s="10" t="n"/>
      <c r="AO73" s="11" t="n"/>
      <c r="AP73" s="11" t="n"/>
      <c r="AQ73" s="16" t="n"/>
      <c r="AR73" s="13" t="n"/>
      <c r="AS73" s="13" t="n"/>
      <c r="AT73" s="13" t="n"/>
      <c r="AU73" s="13" t="n"/>
    </row>
    <row r="74" ht="110.1" customFormat="1" customHeight="1" s="14" thickBot="1">
      <c r="A74" s="79" t="n">
        <v>39</v>
      </c>
      <c r="B74" s="213" t="inlineStr">
        <is>
          <t xml:space="preserve">Where?
What?　
How?　
Other info? </t>
        </is>
      </c>
      <c r="C74" s="200" t="n"/>
      <c r="D74" s="200" t="n"/>
      <c r="E74" s="200" t="n"/>
      <c r="F74" s="201" t="n"/>
      <c r="G74" s="4" t="n"/>
      <c r="H74" s="4" t="n"/>
      <c r="I74" s="78" t="n"/>
      <c r="J74" s="15" t="n"/>
      <c r="K74" s="6" t="n"/>
      <c r="L74" s="7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9" t="n"/>
      <c r="AA74" s="8" t="n"/>
      <c r="AB74" s="8" t="n"/>
      <c r="AC74" s="8" t="n"/>
      <c r="AD74" s="8" t="n"/>
      <c r="AE74" s="8" t="n"/>
      <c r="AF74" s="8" t="n"/>
      <c r="AG74" s="9" t="n"/>
      <c r="AH74" s="8" t="n"/>
      <c r="AI74" s="8" t="n"/>
      <c r="AJ74" s="9" t="n"/>
      <c r="AK74" s="56">
        <f>COUNTA(L74:AJ74)</f>
        <v/>
      </c>
      <c r="AL74" s="95" t="n"/>
      <c r="AM74" s="10" t="n"/>
      <c r="AN74" s="10" t="n"/>
      <c r="AO74" s="11" t="n"/>
      <c r="AP74" s="11" t="n"/>
      <c r="AQ74" s="16" t="n"/>
      <c r="AR74" s="13" t="n"/>
      <c r="AS74" s="13" t="n"/>
      <c r="AT74" s="13" t="n"/>
      <c r="AU74" s="13" t="n"/>
    </row>
    <row r="75" ht="110.1" customFormat="1" customHeight="1" s="14" thickBot="1">
      <c r="A75" s="79" t="n">
        <v>40</v>
      </c>
      <c r="B75" s="213" t="inlineStr">
        <is>
          <t xml:space="preserve">Where?
What?　
How?　
Other info? </t>
        </is>
      </c>
      <c r="C75" s="200" t="n"/>
      <c r="D75" s="200" t="n"/>
      <c r="E75" s="200" t="n"/>
      <c r="F75" s="201" t="n"/>
      <c r="G75" s="4" t="n"/>
      <c r="H75" s="4" t="n"/>
      <c r="I75" s="78" t="n"/>
      <c r="J75" s="15" t="n"/>
      <c r="K75" s="6" t="n"/>
      <c r="L75" s="7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9" t="n"/>
      <c r="AA75" s="8" t="n"/>
      <c r="AB75" s="8" t="n"/>
      <c r="AC75" s="8" t="n"/>
      <c r="AD75" s="8" t="n"/>
      <c r="AE75" s="8" t="n"/>
      <c r="AF75" s="8" t="n"/>
      <c r="AG75" s="9" t="n"/>
      <c r="AH75" s="8" t="n"/>
      <c r="AI75" s="8" t="n"/>
      <c r="AJ75" s="9" t="n"/>
      <c r="AK75" s="56">
        <f>COUNTA(L75:AJ75)</f>
        <v/>
      </c>
      <c r="AL75" s="95" t="n"/>
      <c r="AM75" s="10" t="n"/>
      <c r="AN75" s="10" t="n"/>
      <c r="AO75" s="11" t="n"/>
      <c r="AP75" s="11" t="n"/>
      <c r="AQ75" s="16" t="n"/>
      <c r="AR75" s="13" t="n"/>
      <c r="AS75" s="13" t="n"/>
      <c r="AT75" s="13" t="n"/>
      <c r="AU75" s="13" t="n"/>
    </row>
    <row r="76" ht="110.1" customFormat="1" customHeight="1" s="14" thickBot="1">
      <c r="A76" s="79" t="n">
        <v>41</v>
      </c>
      <c r="B76" s="213" t="inlineStr">
        <is>
          <t xml:space="preserve">Where?
What?　
How?　
Other info? </t>
        </is>
      </c>
      <c r="C76" s="200" t="n"/>
      <c r="D76" s="200" t="n"/>
      <c r="E76" s="200" t="n"/>
      <c r="F76" s="201" t="n"/>
      <c r="G76" s="4" t="n"/>
      <c r="H76" s="4" t="n"/>
      <c r="I76" s="78" t="n"/>
      <c r="J76" s="15" t="n"/>
      <c r="K76" s="6" t="n"/>
      <c r="L76" s="7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9" t="n"/>
      <c r="AA76" s="8" t="n"/>
      <c r="AB76" s="8" t="n"/>
      <c r="AC76" s="8" t="n"/>
      <c r="AD76" s="8" t="n"/>
      <c r="AE76" s="8" t="n"/>
      <c r="AF76" s="8" t="n"/>
      <c r="AG76" s="9" t="n"/>
      <c r="AH76" s="8" t="n"/>
      <c r="AI76" s="8" t="n"/>
      <c r="AJ76" s="9" t="n"/>
      <c r="AK76" s="56">
        <f>COUNTA(L76:AJ76)</f>
        <v/>
      </c>
      <c r="AL76" s="95" t="n"/>
      <c r="AM76" s="10" t="n"/>
      <c r="AN76" s="10" t="n"/>
      <c r="AO76" s="11" t="n"/>
      <c r="AP76" s="11" t="n"/>
      <c r="AQ76" s="16" t="n"/>
      <c r="AR76" s="13" t="n"/>
      <c r="AS76" s="13" t="n"/>
      <c r="AT76" s="13" t="n"/>
      <c r="AU76" s="13" t="n"/>
    </row>
    <row r="77" ht="110.1" customFormat="1" customHeight="1" s="14" thickBot="1">
      <c r="A77" s="79" t="n">
        <v>42</v>
      </c>
      <c r="B77" s="213" t="inlineStr">
        <is>
          <t xml:space="preserve">Where?
What?　
How?　
Other info? </t>
        </is>
      </c>
      <c r="C77" s="200" t="n"/>
      <c r="D77" s="200" t="n"/>
      <c r="E77" s="200" t="n"/>
      <c r="F77" s="201" t="n"/>
      <c r="G77" s="4" t="n"/>
      <c r="H77" s="4" t="n"/>
      <c r="I77" s="78" t="n"/>
      <c r="J77" s="15" t="n"/>
      <c r="K77" s="6" t="n"/>
      <c r="L77" s="7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9" t="n"/>
      <c r="AA77" s="8" t="n"/>
      <c r="AB77" s="8" t="n"/>
      <c r="AC77" s="8" t="n"/>
      <c r="AD77" s="8" t="n"/>
      <c r="AE77" s="8" t="n"/>
      <c r="AF77" s="8" t="n"/>
      <c r="AG77" s="9" t="n"/>
      <c r="AH77" s="8" t="n"/>
      <c r="AI77" s="8" t="n"/>
      <c r="AJ77" s="9" t="n"/>
      <c r="AK77" s="56">
        <f>COUNTA(L77:AJ77)</f>
        <v/>
      </c>
      <c r="AL77" s="95" t="n"/>
      <c r="AM77" s="10" t="n"/>
      <c r="AN77" s="10" t="n"/>
      <c r="AO77" s="11" t="n"/>
      <c r="AP77" s="11" t="n"/>
      <c r="AQ77" s="16" t="n"/>
      <c r="AR77" s="13" t="n"/>
      <c r="AS77" s="13" t="n"/>
      <c r="AT77" s="13" t="n"/>
      <c r="AU77" s="13" t="n"/>
    </row>
    <row r="78" ht="110.1" customFormat="1" customHeight="1" s="14" thickBot="1">
      <c r="A78" s="79" t="n">
        <v>43</v>
      </c>
      <c r="B78" s="213" t="inlineStr">
        <is>
          <t xml:space="preserve">Where?
What?　
How?　
Other info? </t>
        </is>
      </c>
      <c r="C78" s="200" t="n"/>
      <c r="D78" s="200" t="n"/>
      <c r="E78" s="200" t="n"/>
      <c r="F78" s="201" t="n"/>
      <c r="G78" s="17" t="n"/>
      <c r="H78" s="4" t="n"/>
      <c r="I78" s="78">
        <f>AK78</f>
        <v/>
      </c>
      <c r="J78" s="15" t="n"/>
      <c r="K78" s="6" t="n"/>
      <c r="L78" s="7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9" t="n"/>
      <c r="AA78" s="8" t="n"/>
      <c r="AB78" s="8" t="n"/>
      <c r="AC78" s="8" t="n"/>
      <c r="AD78" s="8" t="n"/>
      <c r="AE78" s="8" t="n"/>
      <c r="AF78" s="8" t="n"/>
      <c r="AG78" s="9" t="n"/>
      <c r="AH78" s="8" t="n"/>
      <c r="AI78" s="8" t="n"/>
      <c r="AJ78" s="9" t="n"/>
      <c r="AK78" s="56">
        <f>COUNTA(L78:AJ78)</f>
        <v/>
      </c>
      <c r="AL78" s="95" t="n"/>
      <c r="AM78" s="10" t="n"/>
      <c r="AN78" s="10" t="n"/>
      <c r="AO78" s="11" t="n"/>
      <c r="AP78" s="11" t="n"/>
      <c r="AQ78" s="16" t="n"/>
      <c r="AR78" s="13" t="n"/>
      <c r="AS78" s="13" t="n"/>
      <c r="AT78" s="13" t="n"/>
      <c r="AU78" s="13" t="n"/>
    </row>
    <row r="79" ht="110.1" customFormat="1" customHeight="1" s="14" thickBot="1">
      <c r="A79" s="79" t="n">
        <v>44</v>
      </c>
      <c r="B79" s="213" t="inlineStr">
        <is>
          <t xml:space="preserve">Where?
What?　
How?　
Other info? </t>
        </is>
      </c>
      <c r="C79" s="200" t="n"/>
      <c r="D79" s="200" t="n"/>
      <c r="E79" s="200" t="n"/>
      <c r="F79" s="201" t="n"/>
      <c r="G79" s="4" t="n"/>
      <c r="H79" s="4" t="n"/>
      <c r="I79" s="78">
        <f>AK79</f>
        <v/>
      </c>
      <c r="J79" s="15" t="n"/>
      <c r="K79" s="6" t="n"/>
      <c r="L79" s="7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9" t="n"/>
      <c r="AA79" s="8" t="n"/>
      <c r="AB79" s="8" t="n"/>
      <c r="AC79" s="8" t="n"/>
      <c r="AD79" s="8" t="n"/>
      <c r="AE79" s="8" t="n"/>
      <c r="AF79" s="8" t="n"/>
      <c r="AG79" s="9" t="n"/>
      <c r="AH79" s="8" t="n"/>
      <c r="AI79" s="8" t="n"/>
      <c r="AJ79" s="9" t="n"/>
      <c r="AK79" s="56">
        <f>COUNTA(L79:AJ79)</f>
        <v/>
      </c>
      <c r="AL79" s="95" t="n"/>
      <c r="AM79" s="10" t="n"/>
      <c r="AN79" s="10" t="n"/>
      <c r="AO79" s="11" t="n"/>
      <c r="AP79" s="11" t="n"/>
      <c r="AQ79" s="16" t="n"/>
      <c r="AR79" s="13" t="n"/>
      <c r="AS79" s="13" t="n"/>
      <c r="AT79" s="13" t="n"/>
      <c r="AU79" s="13" t="n"/>
    </row>
    <row r="80" ht="110.1" customFormat="1" customHeight="1" s="14" thickBot="1">
      <c r="A80" s="79" t="n">
        <v>45</v>
      </c>
      <c r="B80" s="213" t="inlineStr">
        <is>
          <t xml:space="preserve">Where?
What?　
How?　
Other info? </t>
        </is>
      </c>
      <c r="C80" s="200" t="n"/>
      <c r="D80" s="200" t="n"/>
      <c r="E80" s="200" t="n"/>
      <c r="F80" s="201" t="n"/>
      <c r="G80" s="4" t="n"/>
      <c r="H80" s="4" t="n"/>
      <c r="I80" s="78">
        <f>AK80</f>
        <v/>
      </c>
      <c r="J80" s="15" t="n"/>
      <c r="K80" s="6" t="n"/>
      <c r="L80" s="7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9" t="n"/>
      <c r="AA80" s="8" t="n"/>
      <c r="AB80" s="8" t="n"/>
      <c r="AC80" s="8" t="n"/>
      <c r="AD80" s="8" t="n"/>
      <c r="AE80" s="8" t="n"/>
      <c r="AF80" s="8" t="n"/>
      <c r="AG80" s="9" t="n"/>
      <c r="AH80" s="8" t="n"/>
      <c r="AI80" s="8" t="n"/>
      <c r="AJ80" s="9" t="n"/>
      <c r="AK80" s="56">
        <f>COUNTA(L80:AJ80)</f>
        <v/>
      </c>
      <c r="AL80" s="95" t="n"/>
      <c r="AM80" s="10" t="n"/>
      <c r="AN80" s="10" t="n"/>
      <c r="AO80" s="11" t="n"/>
      <c r="AP80" s="11" t="n"/>
      <c r="AQ80" s="16" t="n"/>
      <c r="AR80" s="13" t="n"/>
      <c r="AS80" s="13" t="n"/>
      <c r="AT80" s="13" t="n"/>
      <c r="AU80" s="13" t="n"/>
    </row>
    <row r="81" ht="110.1" customFormat="1" customHeight="1" s="14" thickBot="1">
      <c r="A81" s="79" t="n">
        <v>46</v>
      </c>
      <c r="B81" s="213" t="inlineStr">
        <is>
          <t xml:space="preserve">Where?
What?　
How?　
Other info? </t>
        </is>
      </c>
      <c r="C81" s="200" t="n"/>
      <c r="D81" s="200" t="n"/>
      <c r="E81" s="200" t="n"/>
      <c r="F81" s="201" t="n"/>
      <c r="G81" s="4" t="n"/>
      <c r="H81" s="4" t="n"/>
      <c r="I81" s="78">
        <f>AK81</f>
        <v/>
      </c>
      <c r="J81" s="15" t="n"/>
      <c r="K81" s="6" t="n"/>
      <c r="L81" s="7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9" t="n"/>
      <c r="AA81" s="8" t="n"/>
      <c r="AB81" s="8" t="n"/>
      <c r="AC81" s="8" t="n"/>
      <c r="AD81" s="8" t="n"/>
      <c r="AE81" s="8" t="n"/>
      <c r="AF81" s="8" t="n"/>
      <c r="AG81" s="9" t="n"/>
      <c r="AH81" s="8" t="n"/>
      <c r="AI81" s="8" t="n"/>
      <c r="AJ81" s="9" t="n"/>
      <c r="AK81" s="56">
        <f>COUNTA(L81:AJ81)</f>
        <v/>
      </c>
      <c r="AL81" s="95" t="n"/>
      <c r="AM81" s="10" t="n"/>
      <c r="AN81" s="10" t="n"/>
      <c r="AO81" s="11" t="n"/>
      <c r="AP81" s="11" t="n"/>
      <c r="AQ81" s="16" t="n"/>
      <c r="AR81" s="13" t="n"/>
      <c r="AS81" s="13" t="n"/>
      <c r="AT81" s="13" t="n"/>
      <c r="AU81" s="13" t="n"/>
    </row>
    <row r="82" ht="110.1" customFormat="1" customHeight="1" s="14" thickBot="1">
      <c r="A82" s="79" t="n">
        <v>47</v>
      </c>
      <c r="B82" s="213" t="inlineStr">
        <is>
          <t xml:space="preserve">Where?
What?　
How?　
Other info? </t>
        </is>
      </c>
      <c r="C82" s="200" t="n"/>
      <c r="D82" s="200" t="n"/>
      <c r="E82" s="200" t="n"/>
      <c r="F82" s="201" t="n"/>
      <c r="G82" s="4" t="n"/>
      <c r="H82" s="4" t="n"/>
      <c r="I82" s="78">
        <f>AK82</f>
        <v/>
      </c>
      <c r="J82" s="15" t="n"/>
      <c r="K82" s="6" t="n"/>
      <c r="L82" s="7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9" t="n"/>
      <c r="AA82" s="8" t="n"/>
      <c r="AB82" s="8" t="n"/>
      <c r="AC82" s="8" t="n"/>
      <c r="AD82" s="8" t="n"/>
      <c r="AE82" s="8" t="n"/>
      <c r="AF82" s="8" t="n"/>
      <c r="AG82" s="9" t="n"/>
      <c r="AH82" s="8" t="n"/>
      <c r="AI82" s="8" t="n"/>
      <c r="AJ82" s="9" t="n"/>
      <c r="AK82" s="56">
        <f>COUNTA(L82:AJ82)</f>
        <v/>
      </c>
      <c r="AL82" s="95" t="n"/>
      <c r="AM82" s="10" t="n"/>
      <c r="AN82" s="10" t="n"/>
      <c r="AO82" s="11" t="n"/>
      <c r="AP82" s="11" t="n"/>
      <c r="AQ82" s="16" t="n"/>
      <c r="AR82" s="13" t="n"/>
      <c r="AS82" s="13" t="n"/>
      <c r="AT82" s="13" t="n"/>
      <c r="AU82" s="13" t="n"/>
    </row>
    <row r="83" ht="110.1" customFormat="1" customHeight="1" s="14" thickBot="1">
      <c r="A83" s="79" t="n">
        <v>48</v>
      </c>
      <c r="B83" s="213" t="inlineStr">
        <is>
          <t xml:space="preserve">Where?
What?　
How?　
Other info? </t>
        </is>
      </c>
      <c r="C83" s="200" t="n"/>
      <c r="D83" s="200" t="n"/>
      <c r="E83" s="200" t="n"/>
      <c r="F83" s="201" t="n"/>
      <c r="G83" s="4" t="n"/>
      <c r="H83" s="4" t="n"/>
      <c r="I83" s="78">
        <f>AK83</f>
        <v/>
      </c>
      <c r="J83" s="15" t="n"/>
      <c r="K83" s="6" t="n"/>
      <c r="L83" s="7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9" t="n"/>
      <c r="AA83" s="8" t="n"/>
      <c r="AB83" s="8" t="n"/>
      <c r="AC83" s="8" t="n"/>
      <c r="AD83" s="8" t="n"/>
      <c r="AE83" s="8" t="n"/>
      <c r="AF83" s="8" t="n"/>
      <c r="AG83" s="9" t="n"/>
      <c r="AH83" s="8" t="n"/>
      <c r="AI83" s="8" t="n"/>
      <c r="AJ83" s="9" t="n"/>
      <c r="AK83" s="56">
        <f>COUNTA(L83:AJ83)</f>
        <v/>
      </c>
      <c r="AL83" s="95" t="n"/>
      <c r="AM83" s="10" t="n"/>
      <c r="AN83" s="10" t="n"/>
      <c r="AO83" s="11" t="n"/>
      <c r="AP83" s="11" t="n"/>
      <c r="AQ83" s="16" t="n"/>
      <c r="AR83" s="13" t="n"/>
      <c r="AS83" s="13" t="n"/>
      <c r="AT83" s="13" t="n"/>
      <c r="AU83" s="13" t="n"/>
    </row>
    <row r="84" ht="110.1" customFormat="1" customHeight="1" s="14" thickBot="1">
      <c r="A84" s="79" t="n">
        <v>49</v>
      </c>
      <c r="B84" s="213" t="inlineStr">
        <is>
          <t xml:space="preserve">Where?
What?　
How?　
Other info? </t>
        </is>
      </c>
      <c r="C84" s="200" t="n"/>
      <c r="D84" s="200" t="n"/>
      <c r="E84" s="200" t="n"/>
      <c r="F84" s="201" t="n"/>
      <c r="G84" s="4" t="n"/>
      <c r="H84" s="4" t="n"/>
      <c r="I84" s="78">
        <f>AK84</f>
        <v/>
      </c>
      <c r="J84" s="15" t="n"/>
      <c r="K84" s="6" t="n"/>
      <c r="L84" s="7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9" t="n"/>
      <c r="AA84" s="8" t="n"/>
      <c r="AB84" s="8" t="n"/>
      <c r="AC84" s="8" t="n"/>
      <c r="AD84" s="8" t="n"/>
      <c r="AE84" s="8" t="n"/>
      <c r="AF84" s="8" t="n"/>
      <c r="AG84" s="9" t="n"/>
      <c r="AH84" s="8" t="n"/>
      <c r="AI84" s="8" t="n"/>
      <c r="AJ84" s="9" t="n"/>
      <c r="AK84" s="56">
        <f>COUNTA(L84:AJ84)</f>
        <v/>
      </c>
      <c r="AL84" s="95" t="n"/>
      <c r="AM84" s="10" t="n"/>
      <c r="AN84" s="10" t="n"/>
      <c r="AO84" s="11" t="n"/>
      <c r="AP84" s="11" t="n"/>
      <c r="AQ84" s="16" t="n"/>
      <c r="AR84" s="13" t="n"/>
      <c r="AS84" s="13" t="n"/>
      <c r="AT84" s="13" t="n"/>
      <c r="AU84" s="13" t="n"/>
    </row>
    <row r="85" ht="110.1" customFormat="1" customHeight="1" s="14" thickBot="1">
      <c r="A85" s="79" t="n">
        <v>50</v>
      </c>
      <c r="B85" s="213" t="inlineStr">
        <is>
          <t xml:space="preserve">Where?
What?　
How?　
Other info? </t>
        </is>
      </c>
      <c r="C85" s="200" t="n"/>
      <c r="D85" s="200" t="n"/>
      <c r="E85" s="200" t="n"/>
      <c r="F85" s="201" t="n"/>
      <c r="G85" s="4" t="n"/>
      <c r="H85" s="4" t="n"/>
      <c r="I85" s="78">
        <f>AK85</f>
        <v/>
      </c>
      <c r="J85" s="15" t="n"/>
      <c r="K85" s="6" t="n"/>
      <c r="L85" s="7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9" t="n"/>
      <c r="AA85" s="8" t="n"/>
      <c r="AB85" s="8" t="n"/>
      <c r="AC85" s="8" t="n"/>
      <c r="AD85" s="8" t="n"/>
      <c r="AE85" s="8" t="n"/>
      <c r="AF85" s="8" t="n"/>
      <c r="AG85" s="9" t="n"/>
      <c r="AH85" s="8" t="n"/>
      <c r="AI85" s="8" t="n"/>
      <c r="AJ85" s="9" t="n"/>
      <c r="AK85" s="56">
        <f>COUNTA(L85:AJ85)</f>
        <v/>
      </c>
      <c r="AL85" s="95" t="n"/>
      <c r="AM85" s="10" t="n"/>
      <c r="AN85" s="10" t="n"/>
      <c r="AO85" s="11" t="n"/>
      <c r="AP85" s="11" t="n"/>
      <c r="AQ85" s="16" t="n"/>
      <c r="AR85" s="13" t="n"/>
      <c r="AS85" s="13" t="n"/>
      <c r="AT85" s="13" t="n"/>
      <c r="AU85" s="13" t="n"/>
    </row>
    <row r="86" ht="110.1" customFormat="1" customHeight="1" s="14" thickBot="1">
      <c r="A86" s="79" t="n">
        <v>51</v>
      </c>
      <c r="B86" s="213" t="inlineStr">
        <is>
          <t xml:space="preserve">Where?
What?　
How?　
Other info? </t>
        </is>
      </c>
      <c r="C86" s="200" t="n"/>
      <c r="D86" s="200" t="n"/>
      <c r="E86" s="200" t="n"/>
      <c r="F86" s="201" t="n"/>
      <c r="G86" s="4" t="n"/>
      <c r="H86" s="4" t="n"/>
      <c r="I86" s="78">
        <f>AK86</f>
        <v/>
      </c>
      <c r="J86" s="15" t="n"/>
      <c r="K86" s="6" t="n"/>
      <c r="L86" s="7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9" t="n"/>
      <c r="AA86" s="8" t="n"/>
      <c r="AB86" s="8" t="n"/>
      <c r="AC86" s="8" t="n"/>
      <c r="AD86" s="8" t="n"/>
      <c r="AE86" s="8" t="n"/>
      <c r="AF86" s="8" t="n"/>
      <c r="AG86" s="9" t="n"/>
      <c r="AH86" s="8" t="n"/>
      <c r="AI86" s="8" t="n"/>
      <c r="AJ86" s="9" t="n"/>
      <c r="AK86" s="56">
        <f>COUNTA(L86:AJ86)</f>
        <v/>
      </c>
      <c r="AL86" s="95" t="n"/>
      <c r="AM86" s="10" t="n"/>
      <c r="AN86" s="10" t="n"/>
      <c r="AO86" s="11" t="n"/>
      <c r="AP86" s="11" t="n"/>
      <c r="AQ86" s="16" t="n"/>
      <c r="AR86" s="13" t="n"/>
      <c r="AS86" s="13" t="n"/>
      <c r="AT86" s="13" t="n"/>
      <c r="AU86" s="13" t="n"/>
    </row>
    <row r="87" ht="110.1" customFormat="1" customHeight="1" s="14" thickBot="1">
      <c r="A87" s="79" t="n">
        <v>52</v>
      </c>
      <c r="B87" s="213" t="inlineStr">
        <is>
          <t xml:space="preserve">Where?
What?　
How?　
Other info? </t>
        </is>
      </c>
      <c r="C87" s="200" t="n"/>
      <c r="D87" s="200" t="n"/>
      <c r="E87" s="200" t="n"/>
      <c r="F87" s="201" t="n"/>
      <c r="G87" s="4" t="n"/>
      <c r="H87" s="4" t="n"/>
      <c r="I87" s="78">
        <f>AK87</f>
        <v/>
      </c>
      <c r="J87" s="15" t="n"/>
      <c r="K87" s="6" t="n"/>
      <c r="L87" s="7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9" t="n"/>
      <c r="AA87" s="8" t="n"/>
      <c r="AB87" s="8" t="n"/>
      <c r="AC87" s="8" t="n"/>
      <c r="AD87" s="8" t="n"/>
      <c r="AE87" s="8" t="n"/>
      <c r="AF87" s="8" t="n"/>
      <c r="AG87" s="9" t="n"/>
      <c r="AH87" s="8" t="n"/>
      <c r="AI87" s="8" t="n"/>
      <c r="AJ87" s="9" t="n"/>
      <c r="AK87" s="56">
        <f>COUNTA(L87:AJ87)</f>
        <v/>
      </c>
      <c r="AL87" s="95" t="n"/>
      <c r="AM87" s="10" t="n"/>
      <c r="AN87" s="10" t="n"/>
      <c r="AO87" s="11" t="n"/>
      <c r="AP87" s="11" t="n"/>
      <c r="AQ87" s="16" t="n"/>
      <c r="AR87" s="13" t="n"/>
      <c r="AS87" s="13" t="n"/>
      <c r="AT87" s="13" t="n"/>
      <c r="AU87" s="13" t="n"/>
    </row>
    <row r="88" ht="110.1" customFormat="1" customHeight="1" s="14" thickBot="1">
      <c r="A88" s="79" t="n">
        <v>53</v>
      </c>
      <c r="B88" s="213" t="inlineStr">
        <is>
          <t xml:space="preserve">Where?
What?　
How?　
Other info? </t>
        </is>
      </c>
      <c r="C88" s="200" t="n"/>
      <c r="D88" s="200" t="n"/>
      <c r="E88" s="200" t="n"/>
      <c r="F88" s="201" t="n"/>
      <c r="G88" s="17" t="n"/>
      <c r="H88" s="4" t="n"/>
      <c r="I88" s="78">
        <f>AK88</f>
        <v/>
      </c>
      <c r="J88" s="15" t="n"/>
      <c r="K88" s="6" t="n"/>
      <c r="L88" s="7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9" t="n"/>
      <c r="AA88" s="8" t="n"/>
      <c r="AB88" s="8" t="n"/>
      <c r="AC88" s="8" t="n"/>
      <c r="AD88" s="8" t="n"/>
      <c r="AE88" s="8" t="n"/>
      <c r="AF88" s="8" t="n"/>
      <c r="AG88" s="9" t="n"/>
      <c r="AH88" s="8" t="n"/>
      <c r="AI88" s="8" t="n"/>
      <c r="AJ88" s="9" t="n"/>
      <c r="AK88" s="56">
        <f>COUNTA(L88:AJ88)</f>
        <v/>
      </c>
      <c r="AL88" s="95" t="n"/>
      <c r="AM88" s="10" t="n"/>
      <c r="AN88" s="10" t="n"/>
      <c r="AO88" s="11" t="n"/>
      <c r="AP88" s="11" t="n"/>
      <c r="AQ88" s="16" t="n"/>
      <c r="AR88" s="13" t="n"/>
      <c r="AS88" s="13" t="n"/>
      <c r="AT88" s="13" t="n"/>
      <c r="AU88" s="13" t="n"/>
    </row>
    <row r="89" ht="110.1" customFormat="1" customHeight="1" s="14" thickBot="1">
      <c r="A89" s="79" t="n">
        <v>54</v>
      </c>
      <c r="B89" s="213" t="inlineStr">
        <is>
          <t xml:space="preserve">Where?
What?　
How?　
Other info? </t>
        </is>
      </c>
      <c r="C89" s="200" t="n"/>
      <c r="D89" s="200" t="n"/>
      <c r="E89" s="200" t="n"/>
      <c r="F89" s="201" t="n"/>
      <c r="G89" s="4" t="n"/>
      <c r="H89" s="4" t="n"/>
      <c r="I89" s="78">
        <f>AK89</f>
        <v/>
      </c>
      <c r="J89" s="18" t="n"/>
      <c r="K89" s="6" t="n"/>
      <c r="L89" s="7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9" t="n"/>
      <c r="AA89" s="8" t="n"/>
      <c r="AB89" s="8" t="n"/>
      <c r="AC89" s="8" t="n"/>
      <c r="AD89" s="8" t="n"/>
      <c r="AE89" s="8" t="n"/>
      <c r="AF89" s="8" t="n"/>
      <c r="AG89" s="9" t="n"/>
      <c r="AH89" s="8" t="n"/>
      <c r="AI89" s="8" t="n"/>
      <c r="AJ89" s="9" t="n"/>
      <c r="AK89" s="56">
        <f>COUNTA(L89:AJ89)</f>
        <v/>
      </c>
      <c r="AL89" s="95" t="n"/>
      <c r="AM89" s="10" t="n"/>
      <c r="AN89" s="10" t="n"/>
      <c r="AO89" s="11" t="n"/>
      <c r="AP89" s="11" t="n"/>
      <c r="AQ89" s="16" t="n"/>
      <c r="AR89" s="13" t="n"/>
      <c r="AS89" s="13" t="n"/>
      <c r="AT89" s="13" t="n"/>
      <c r="AU89" s="13" t="n"/>
    </row>
    <row r="90" ht="110.1" customHeight="1" s="110" thickBot="1">
      <c r="A90" s="79" t="n">
        <v>55</v>
      </c>
      <c r="B90" s="213" t="inlineStr">
        <is>
          <t xml:space="preserve">Where?
What?　
How?　
Other info? </t>
        </is>
      </c>
      <c r="C90" s="200" t="n"/>
      <c r="D90" s="200" t="n"/>
      <c r="E90" s="200" t="n"/>
      <c r="F90" s="201" t="n"/>
      <c r="G90" s="4" t="n"/>
      <c r="H90" s="4" t="n"/>
      <c r="I90" s="78">
        <f>AK90</f>
        <v/>
      </c>
      <c r="J90" s="6" t="n"/>
      <c r="K90" s="6" t="n"/>
      <c r="L90" s="7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9" t="n"/>
      <c r="AA90" s="8" t="n"/>
      <c r="AB90" s="8" t="n"/>
      <c r="AC90" s="8" t="n"/>
      <c r="AD90" s="8" t="n"/>
      <c r="AE90" s="8" t="n"/>
      <c r="AF90" s="8" t="n"/>
      <c r="AG90" s="9" t="n"/>
      <c r="AH90" s="8" t="n"/>
      <c r="AI90" s="8" t="n"/>
      <c r="AJ90" s="9" t="n"/>
      <c r="AK90" s="56">
        <f>COUNTA(L90:AJ90)</f>
        <v/>
      </c>
      <c r="AL90" s="95" t="n"/>
      <c r="AM90" s="10" t="n"/>
      <c r="AN90" s="10" t="n"/>
      <c r="AO90" s="17" t="n"/>
      <c r="AP90" s="19" t="n"/>
      <c r="AQ90" s="20" t="n"/>
      <c r="AR90" s="21" t="n"/>
      <c r="AS90" s="13" t="n"/>
      <c r="AT90" s="13" t="n"/>
      <c r="AU90" s="13" t="n"/>
    </row>
    <row r="91" ht="110.1" customHeight="1" s="110" thickBot="1">
      <c r="A91" s="79" t="n">
        <v>56</v>
      </c>
      <c r="B91" s="213" t="inlineStr">
        <is>
          <t xml:space="preserve">Where?
What?　
How?　
Other info? </t>
        </is>
      </c>
      <c r="C91" s="200" t="n"/>
      <c r="D91" s="200" t="n"/>
      <c r="E91" s="200" t="n"/>
      <c r="F91" s="201" t="n"/>
      <c r="G91" s="4" t="n"/>
      <c r="H91" s="4" t="n"/>
      <c r="I91" s="78">
        <f>AK91</f>
        <v/>
      </c>
      <c r="J91" s="6" t="n"/>
      <c r="K91" s="6" t="n"/>
      <c r="L91" s="7" t="n"/>
      <c r="M91" s="8" t="n"/>
      <c r="N91" s="8" t="n"/>
      <c r="O91" s="8" t="n"/>
      <c r="P91" s="23" t="n"/>
      <c r="Q91" s="23" t="n"/>
      <c r="R91" s="8" t="n"/>
      <c r="S91" s="8" t="n"/>
      <c r="T91" s="8" t="n"/>
      <c r="U91" s="8" t="n"/>
      <c r="V91" s="8" t="n"/>
      <c r="W91" s="8" t="n"/>
      <c r="X91" s="8" t="n"/>
      <c r="Y91" s="8" t="n"/>
      <c r="Z91" s="9" t="n"/>
      <c r="AA91" s="8" t="n"/>
      <c r="AB91" s="8" t="n"/>
      <c r="AC91" s="8" t="n"/>
      <c r="AD91" s="8" t="n"/>
      <c r="AE91" s="8" t="n"/>
      <c r="AF91" s="8" t="n"/>
      <c r="AG91" s="9" t="n"/>
      <c r="AH91" s="8" t="n"/>
      <c r="AI91" s="8" t="n"/>
      <c r="AJ91" s="9" t="n"/>
      <c r="AK91" s="56">
        <f>COUNTA(L91:AJ91)</f>
        <v/>
      </c>
      <c r="AL91" s="95" t="n"/>
      <c r="AM91" s="10" t="n"/>
      <c r="AN91" s="10" t="n"/>
      <c r="AO91" s="17" t="n"/>
      <c r="AP91" s="19" t="n"/>
      <c r="AQ91" s="20" t="n"/>
      <c r="AR91" s="21" t="n"/>
      <c r="AS91" s="13" t="n"/>
      <c r="AT91" s="13" t="n"/>
      <c r="AU91" s="13" t="n"/>
    </row>
    <row r="92" ht="110.1" customHeight="1" s="110" thickBot="1">
      <c r="A92" s="79" t="n">
        <v>57</v>
      </c>
      <c r="B92" s="213" t="inlineStr">
        <is>
          <t xml:space="preserve">Where?
What?　
How?　
Other info? </t>
        </is>
      </c>
      <c r="C92" s="200" t="n"/>
      <c r="D92" s="200" t="n"/>
      <c r="E92" s="200" t="n"/>
      <c r="F92" s="201" t="n"/>
      <c r="G92" s="4" t="n"/>
      <c r="H92" s="4" t="n"/>
      <c r="I92" s="78">
        <f>AK92</f>
        <v/>
      </c>
      <c r="J92" s="6" t="n"/>
      <c r="K92" s="6" t="n"/>
      <c r="L92" s="7" t="n"/>
      <c r="M92" s="8" t="n"/>
      <c r="N92" s="8" t="n"/>
      <c r="O92" s="8" t="n"/>
      <c r="P92" s="23" t="n"/>
      <c r="Q92" s="23" t="n"/>
      <c r="R92" s="8" t="n"/>
      <c r="S92" s="8" t="n"/>
      <c r="T92" s="8" t="n"/>
      <c r="U92" s="8" t="n"/>
      <c r="V92" s="8" t="n"/>
      <c r="W92" s="8" t="n"/>
      <c r="X92" s="8" t="n"/>
      <c r="Y92" s="8" t="n"/>
      <c r="Z92" s="9" t="n"/>
      <c r="AA92" s="8" t="n"/>
      <c r="AB92" s="8" t="n"/>
      <c r="AC92" s="8" t="n"/>
      <c r="AD92" s="8" t="n"/>
      <c r="AE92" s="8" t="n"/>
      <c r="AF92" s="8" t="n"/>
      <c r="AG92" s="9" t="n"/>
      <c r="AH92" s="8" t="n"/>
      <c r="AI92" s="8" t="n"/>
      <c r="AJ92" s="9" t="n"/>
      <c r="AK92" s="56">
        <f>COUNTA(L92:AJ92)</f>
        <v/>
      </c>
      <c r="AL92" s="95" t="n"/>
      <c r="AM92" s="10" t="n"/>
      <c r="AN92" s="10" t="n"/>
      <c r="AO92" s="21" t="n"/>
      <c r="AP92" s="21" t="n"/>
      <c r="AQ92" s="21" t="n"/>
      <c r="AR92" s="21" t="n"/>
      <c r="AS92" s="13" t="n"/>
      <c r="AT92" s="13" t="n"/>
      <c r="AU92" s="13" t="n"/>
    </row>
    <row r="93" ht="110.1" customHeight="1" s="110" thickBot="1">
      <c r="A93" s="79" t="n">
        <v>58</v>
      </c>
      <c r="B93" s="213" t="inlineStr">
        <is>
          <t xml:space="preserve">Where?
What?　
How?　
Other info? </t>
        </is>
      </c>
      <c r="C93" s="200" t="n"/>
      <c r="D93" s="200" t="n"/>
      <c r="E93" s="200" t="n"/>
      <c r="F93" s="201" t="n"/>
      <c r="G93" s="4" t="n"/>
      <c r="H93" s="4" t="n"/>
      <c r="I93" s="78">
        <f>AK93</f>
        <v/>
      </c>
      <c r="J93" s="6" t="n"/>
      <c r="K93" s="6" t="n"/>
      <c r="L93" s="7" t="n"/>
      <c r="M93" s="8" t="n"/>
      <c r="N93" s="8" t="n"/>
      <c r="O93" s="8" t="n"/>
      <c r="P93" s="23" t="n"/>
      <c r="Q93" s="23" t="n"/>
      <c r="R93" s="8" t="n"/>
      <c r="S93" s="8" t="n"/>
      <c r="T93" s="8" t="n"/>
      <c r="U93" s="8" t="n"/>
      <c r="V93" s="8" t="n"/>
      <c r="W93" s="8" t="n"/>
      <c r="X93" s="8" t="n"/>
      <c r="Y93" s="8" t="n"/>
      <c r="Z93" s="9" t="n"/>
      <c r="AA93" s="8" t="n"/>
      <c r="AB93" s="8" t="n"/>
      <c r="AC93" s="8" t="n"/>
      <c r="AD93" s="8" t="n"/>
      <c r="AE93" s="8" t="n"/>
      <c r="AF93" s="8" t="n"/>
      <c r="AG93" s="9" t="n"/>
      <c r="AH93" s="8" t="n"/>
      <c r="AI93" s="8" t="n"/>
      <c r="AJ93" s="9" t="n"/>
      <c r="AK93" s="56">
        <f>COUNTA(L93:AJ93)</f>
        <v/>
      </c>
      <c r="AL93" s="95" t="n"/>
      <c r="AM93" s="10" t="n"/>
      <c r="AN93" s="10" t="n"/>
      <c r="AO93" s="21" t="n"/>
      <c r="AP93" s="21" t="n"/>
      <c r="AQ93" s="21" t="n"/>
      <c r="AR93" s="21" t="n"/>
      <c r="AS93" s="13" t="n"/>
      <c r="AT93" s="13" t="n"/>
      <c r="AU93" s="13" t="n"/>
    </row>
    <row r="94" ht="110.1" customHeight="1" s="110" thickBot="1">
      <c r="A94" s="79" t="n">
        <v>59</v>
      </c>
      <c r="B94" s="213" t="inlineStr">
        <is>
          <t xml:space="preserve">Where?
What?　
How?　
Other info? </t>
        </is>
      </c>
      <c r="C94" s="200" t="n"/>
      <c r="D94" s="200" t="n"/>
      <c r="E94" s="200" t="n"/>
      <c r="F94" s="201" t="n"/>
      <c r="G94" s="4" t="n"/>
      <c r="H94" s="4" t="n"/>
      <c r="I94" s="78">
        <f>AK94</f>
        <v/>
      </c>
      <c r="J94" s="6" t="n"/>
      <c r="K94" s="6" t="n"/>
      <c r="L94" s="7" t="n"/>
      <c r="M94" s="8" t="n"/>
      <c r="N94" s="8" t="n"/>
      <c r="O94" s="8" t="n"/>
      <c r="P94" s="23" t="n"/>
      <c r="Q94" s="23" t="n"/>
      <c r="R94" s="8" t="n"/>
      <c r="S94" s="8" t="n"/>
      <c r="T94" s="8" t="n"/>
      <c r="U94" s="8" t="n"/>
      <c r="V94" s="8" t="n"/>
      <c r="W94" s="8" t="n"/>
      <c r="X94" s="8" t="n"/>
      <c r="Y94" s="8" t="n"/>
      <c r="Z94" s="9" t="n"/>
      <c r="AA94" s="8" t="n"/>
      <c r="AB94" s="8" t="n"/>
      <c r="AC94" s="8" t="n"/>
      <c r="AD94" s="8" t="n"/>
      <c r="AE94" s="8" t="n"/>
      <c r="AF94" s="8" t="n"/>
      <c r="AG94" s="9" t="n"/>
      <c r="AH94" s="8" t="n"/>
      <c r="AI94" s="8" t="n"/>
      <c r="AJ94" s="9" t="n"/>
      <c r="AK94" s="56">
        <f>COUNTA(L94:AJ94)</f>
        <v/>
      </c>
      <c r="AL94" s="95" t="n"/>
      <c r="AM94" s="10" t="n"/>
      <c r="AN94" s="10" t="n"/>
      <c r="AO94" s="21" t="n"/>
      <c r="AP94" s="21" t="n"/>
      <c r="AQ94" s="21" t="n"/>
      <c r="AR94" s="21" t="n"/>
      <c r="AS94" s="13" t="n"/>
      <c r="AT94" s="13" t="n"/>
      <c r="AU94" s="13" t="n"/>
    </row>
    <row r="95" ht="110.1" customHeight="1" s="110" thickBot="1">
      <c r="A95" s="79" t="n">
        <v>60</v>
      </c>
      <c r="B95" s="213" t="inlineStr">
        <is>
          <t xml:space="preserve">Where?
What?　
How?　
Other info? </t>
        </is>
      </c>
      <c r="C95" s="200" t="n"/>
      <c r="D95" s="200" t="n"/>
      <c r="E95" s="200" t="n"/>
      <c r="F95" s="201" t="n"/>
      <c r="G95" s="4" t="n"/>
      <c r="H95" s="4" t="n"/>
      <c r="I95" s="78">
        <f>AK95</f>
        <v/>
      </c>
      <c r="J95" s="6" t="n"/>
      <c r="K95" s="6" t="n"/>
      <c r="L95" s="7" t="n"/>
      <c r="M95" s="8" t="n"/>
      <c r="N95" s="8" t="n"/>
      <c r="O95" s="8" t="n"/>
      <c r="P95" s="23" t="n"/>
      <c r="Q95" s="23" t="n"/>
      <c r="R95" s="8" t="n"/>
      <c r="S95" s="8" t="n"/>
      <c r="T95" s="8" t="n"/>
      <c r="U95" s="8" t="n"/>
      <c r="V95" s="8" t="n"/>
      <c r="W95" s="8" t="n"/>
      <c r="X95" s="8" t="n"/>
      <c r="Y95" s="8" t="n"/>
      <c r="Z95" s="9" t="n"/>
      <c r="AA95" s="8" t="n"/>
      <c r="AB95" s="8" t="n"/>
      <c r="AC95" s="8" t="n"/>
      <c r="AD95" s="8" t="n"/>
      <c r="AE95" s="8" t="n"/>
      <c r="AF95" s="8" t="n"/>
      <c r="AG95" s="9" t="n"/>
      <c r="AH95" s="8" t="n"/>
      <c r="AI95" s="8" t="n"/>
      <c r="AJ95" s="9" t="n"/>
      <c r="AK95" s="56">
        <f>COUNTA(L95:AJ95)</f>
        <v/>
      </c>
      <c r="AL95" s="95" t="n"/>
      <c r="AM95" s="10" t="n"/>
      <c r="AN95" s="10" t="n"/>
      <c r="AO95" s="21" t="n"/>
      <c r="AP95" s="21" t="n"/>
      <c r="AQ95" s="21" t="n"/>
      <c r="AR95" s="21" t="n"/>
      <c r="AS95" s="13" t="n"/>
      <c r="AT95" s="13" t="n"/>
      <c r="AU95" s="13" t="n"/>
    </row>
    <row r="96" ht="110.1" customHeight="1" s="110" thickBot="1">
      <c r="A96" s="79" t="n">
        <v>61</v>
      </c>
      <c r="B96" s="213" t="inlineStr">
        <is>
          <t xml:space="preserve">Where?
What?　
How?　
Other info? </t>
        </is>
      </c>
      <c r="C96" s="200" t="n"/>
      <c r="D96" s="200" t="n"/>
      <c r="E96" s="200" t="n"/>
      <c r="F96" s="201" t="n"/>
      <c r="G96" s="4" t="n"/>
      <c r="H96" s="4" t="n"/>
      <c r="I96" s="78">
        <f>AK96</f>
        <v/>
      </c>
      <c r="J96" s="6" t="n"/>
      <c r="K96" s="6" t="n"/>
      <c r="L96" s="7" t="n"/>
      <c r="M96" s="8" t="n"/>
      <c r="N96" s="8" t="n"/>
      <c r="O96" s="8" t="n"/>
      <c r="P96" s="23" t="n"/>
      <c r="Q96" s="23" t="n"/>
      <c r="R96" s="8" t="n"/>
      <c r="S96" s="8" t="n"/>
      <c r="T96" s="8" t="n"/>
      <c r="U96" s="8" t="n"/>
      <c r="V96" s="8" t="n"/>
      <c r="W96" s="8" t="n"/>
      <c r="X96" s="8" t="n"/>
      <c r="Y96" s="8" t="n"/>
      <c r="Z96" s="9" t="n"/>
      <c r="AA96" s="8" t="n"/>
      <c r="AB96" s="8" t="n"/>
      <c r="AC96" s="8" t="n"/>
      <c r="AD96" s="8" t="n"/>
      <c r="AE96" s="8" t="n"/>
      <c r="AF96" s="8" t="n"/>
      <c r="AG96" s="9" t="n"/>
      <c r="AH96" s="8" t="n"/>
      <c r="AI96" s="8" t="n"/>
      <c r="AJ96" s="9" t="n"/>
      <c r="AK96" s="56">
        <f>COUNTA(L96:AJ96)</f>
        <v/>
      </c>
      <c r="AL96" s="95" t="n"/>
      <c r="AM96" s="10" t="n"/>
      <c r="AN96" s="10" t="n"/>
      <c r="AO96" s="21" t="n"/>
      <c r="AP96" s="21" t="n"/>
      <c r="AQ96" s="21" t="n"/>
      <c r="AR96" s="21" t="n"/>
      <c r="AS96" s="13" t="n"/>
      <c r="AT96" s="13" t="n"/>
      <c r="AU96" s="13" t="n"/>
    </row>
    <row r="97" ht="110.1" customHeight="1" s="110" thickBot="1">
      <c r="A97" s="79" t="n">
        <v>62</v>
      </c>
      <c r="B97" s="213" t="inlineStr">
        <is>
          <t xml:space="preserve">Where?
What?　
How?　
Other info? </t>
        </is>
      </c>
      <c r="C97" s="200" t="n"/>
      <c r="D97" s="200" t="n"/>
      <c r="E97" s="200" t="n"/>
      <c r="F97" s="201" t="n"/>
      <c r="G97" s="4" t="n"/>
      <c r="H97" s="4" t="n"/>
      <c r="I97" s="78">
        <f>AK97</f>
        <v/>
      </c>
      <c r="J97" s="6" t="n"/>
      <c r="K97" s="6" t="n"/>
      <c r="L97" s="7" t="n"/>
      <c r="M97" s="8" t="n"/>
      <c r="N97" s="8" t="n"/>
      <c r="O97" s="8" t="n"/>
      <c r="P97" s="23" t="n"/>
      <c r="Q97" s="23" t="n"/>
      <c r="R97" s="8" t="n"/>
      <c r="S97" s="8" t="n"/>
      <c r="T97" s="8" t="n"/>
      <c r="U97" s="8" t="n"/>
      <c r="V97" s="8" t="n"/>
      <c r="W97" s="8" t="n"/>
      <c r="X97" s="8" t="n"/>
      <c r="Y97" s="8" t="n"/>
      <c r="Z97" s="9" t="n"/>
      <c r="AA97" s="8" t="n"/>
      <c r="AB97" s="8" t="n"/>
      <c r="AC97" s="8" t="n"/>
      <c r="AD97" s="8" t="n"/>
      <c r="AE97" s="8" t="n"/>
      <c r="AF97" s="8" t="n"/>
      <c r="AG97" s="9" t="n"/>
      <c r="AH97" s="8" t="n"/>
      <c r="AI97" s="8" t="n"/>
      <c r="AJ97" s="9" t="n"/>
      <c r="AK97" s="56">
        <f>COUNTA(L97:AJ97)</f>
        <v/>
      </c>
      <c r="AL97" s="95" t="n"/>
      <c r="AM97" s="10" t="n"/>
      <c r="AN97" s="10" t="n"/>
      <c r="AO97" s="21" t="n"/>
      <c r="AP97" s="21" t="n"/>
      <c r="AQ97" s="21" t="n"/>
      <c r="AR97" s="21" t="n"/>
      <c r="AS97" s="13" t="n"/>
      <c r="AT97" s="13" t="n"/>
      <c r="AU97" s="13" t="n"/>
    </row>
    <row r="98" ht="110.1" customHeight="1" s="110" thickBot="1">
      <c r="A98" s="79" t="n">
        <v>63</v>
      </c>
      <c r="B98" s="213" t="inlineStr">
        <is>
          <t xml:space="preserve">Where?
What?　
How?　
Other info? </t>
        </is>
      </c>
      <c r="C98" s="200" t="n"/>
      <c r="D98" s="200" t="n"/>
      <c r="E98" s="200" t="n"/>
      <c r="F98" s="201" t="n"/>
      <c r="G98" s="4" t="n"/>
      <c r="H98" s="4" t="n"/>
      <c r="I98" s="78">
        <f>AK98</f>
        <v/>
      </c>
      <c r="J98" s="6" t="n"/>
      <c r="K98" s="6" t="n"/>
      <c r="L98" s="7" t="n"/>
      <c r="M98" s="8" t="n"/>
      <c r="N98" s="8" t="n"/>
      <c r="O98" s="8" t="n"/>
      <c r="P98" s="23" t="n"/>
      <c r="Q98" s="23" t="n"/>
      <c r="R98" s="8" t="n"/>
      <c r="S98" s="8" t="n"/>
      <c r="T98" s="8" t="n"/>
      <c r="U98" s="8" t="n"/>
      <c r="V98" s="8" t="n"/>
      <c r="W98" s="8" t="n"/>
      <c r="X98" s="8" t="n"/>
      <c r="Y98" s="8" t="n"/>
      <c r="Z98" s="9" t="n"/>
      <c r="AA98" s="8" t="n"/>
      <c r="AB98" s="8" t="n"/>
      <c r="AC98" s="8" t="n"/>
      <c r="AD98" s="8" t="n"/>
      <c r="AE98" s="8" t="n"/>
      <c r="AF98" s="8" t="n"/>
      <c r="AG98" s="9" t="n"/>
      <c r="AH98" s="8" t="n"/>
      <c r="AI98" s="8" t="n"/>
      <c r="AJ98" s="9" t="n"/>
      <c r="AK98" s="56">
        <f>COUNTA(L98:AJ98)</f>
        <v/>
      </c>
      <c r="AL98" s="95" t="n"/>
      <c r="AM98" s="10" t="n"/>
      <c r="AN98" s="10" t="n"/>
      <c r="AO98" s="21" t="n"/>
      <c r="AP98" s="21" t="n"/>
      <c r="AQ98" s="21" t="n"/>
      <c r="AR98" s="21" t="n"/>
      <c r="AS98" s="13" t="n"/>
      <c r="AT98" s="13" t="n"/>
      <c r="AU98" s="13" t="n"/>
    </row>
    <row r="99" ht="110.1" customHeight="1" s="110" thickBot="1">
      <c r="A99" s="79" t="n">
        <v>64</v>
      </c>
      <c r="B99" s="213" t="inlineStr">
        <is>
          <t xml:space="preserve">Where?
What?　
How?　
Other info? </t>
        </is>
      </c>
      <c r="C99" s="200" t="n"/>
      <c r="D99" s="200" t="n"/>
      <c r="E99" s="200" t="n"/>
      <c r="F99" s="201" t="n"/>
      <c r="G99" s="4" t="n"/>
      <c r="H99" s="4" t="n"/>
      <c r="I99" s="78">
        <f>AK99</f>
        <v/>
      </c>
      <c r="J99" s="6" t="n"/>
      <c r="K99" s="6" t="n"/>
      <c r="L99" s="7" t="n"/>
      <c r="M99" s="8" t="n"/>
      <c r="N99" s="8" t="n"/>
      <c r="O99" s="8" t="n"/>
      <c r="P99" s="23" t="n"/>
      <c r="Q99" s="23" t="n"/>
      <c r="R99" s="8" t="n"/>
      <c r="S99" s="8" t="n"/>
      <c r="T99" s="8" t="n"/>
      <c r="U99" s="8" t="n"/>
      <c r="V99" s="8" t="n"/>
      <c r="W99" s="8" t="n"/>
      <c r="X99" s="8" t="n"/>
      <c r="Y99" s="8" t="n"/>
      <c r="Z99" s="9" t="n"/>
      <c r="AA99" s="8" t="n"/>
      <c r="AB99" s="8" t="n"/>
      <c r="AC99" s="8" t="n"/>
      <c r="AD99" s="8" t="n"/>
      <c r="AE99" s="8" t="n"/>
      <c r="AF99" s="8" t="n"/>
      <c r="AG99" s="9" t="n"/>
      <c r="AH99" s="8" t="n"/>
      <c r="AI99" s="8" t="n"/>
      <c r="AJ99" s="9" t="n"/>
      <c r="AK99" s="56">
        <f>COUNTA(L99:AJ99)</f>
        <v/>
      </c>
      <c r="AL99" s="95" t="n"/>
      <c r="AM99" s="10" t="n"/>
      <c r="AN99" s="10" t="n"/>
      <c r="AO99" s="21" t="n"/>
      <c r="AP99" s="21" t="n"/>
      <c r="AQ99" s="21" t="n"/>
      <c r="AR99" s="21" t="n"/>
      <c r="AS99" s="13" t="n"/>
      <c r="AT99" s="13" t="n"/>
      <c r="AU99" s="13" t="n"/>
    </row>
    <row r="100" ht="110.1" customHeight="1" s="110" thickBot="1">
      <c r="A100" s="79" t="n">
        <v>65</v>
      </c>
      <c r="B100" s="213" t="inlineStr">
        <is>
          <t xml:space="preserve">Where?
What?　
How?　
Other info? </t>
        </is>
      </c>
      <c r="C100" s="200" t="n"/>
      <c r="D100" s="200" t="n"/>
      <c r="E100" s="200" t="n"/>
      <c r="F100" s="201" t="n"/>
      <c r="G100" s="4" t="n"/>
      <c r="H100" s="4" t="n"/>
      <c r="I100" s="78">
        <f>AK100</f>
        <v/>
      </c>
      <c r="J100" s="6" t="n"/>
      <c r="K100" s="6" t="n"/>
      <c r="L100" s="7" t="n"/>
      <c r="M100" s="8" t="n"/>
      <c r="N100" s="8" t="n"/>
      <c r="O100" s="8" t="n"/>
      <c r="P100" s="23" t="n"/>
      <c r="Q100" s="23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9" t="n"/>
      <c r="AA100" s="8" t="n"/>
      <c r="AB100" s="8" t="n"/>
      <c r="AC100" s="8" t="n"/>
      <c r="AD100" s="8" t="n"/>
      <c r="AE100" s="8" t="n"/>
      <c r="AF100" s="8" t="n"/>
      <c r="AG100" s="9" t="n"/>
      <c r="AH100" s="8" t="n"/>
      <c r="AI100" s="8" t="n"/>
      <c r="AJ100" s="9" t="n"/>
      <c r="AK100" s="56">
        <f>COUNTA(L100:AJ100)</f>
        <v/>
      </c>
      <c r="AL100" s="95" t="n"/>
      <c r="AM100" s="10" t="n"/>
      <c r="AN100" s="10" t="n"/>
      <c r="AO100" s="21" t="n"/>
      <c r="AP100" s="21" t="n"/>
      <c r="AQ100" s="21" t="n"/>
      <c r="AR100" s="21" t="n"/>
      <c r="AS100" s="13" t="n"/>
      <c r="AT100" s="13" t="n"/>
      <c r="AU100" s="13" t="n"/>
    </row>
    <row r="101" ht="110.1" customFormat="1" customHeight="1" s="14" thickBot="1">
      <c r="A101" s="79" t="n">
        <v>66</v>
      </c>
      <c r="B101" s="213" t="inlineStr">
        <is>
          <t xml:space="preserve">Where?
What?　
How?　
Other info? </t>
        </is>
      </c>
      <c r="C101" s="200" t="n"/>
      <c r="D101" s="200" t="n"/>
      <c r="E101" s="200" t="n"/>
      <c r="F101" s="201" t="n"/>
      <c r="G101" s="4" t="n"/>
      <c r="H101" s="4" t="n"/>
      <c r="I101" s="78">
        <f>AK101</f>
        <v/>
      </c>
      <c r="J101" s="15" t="n"/>
      <c r="K101" s="6" t="n"/>
      <c r="L101" s="7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9" t="n"/>
      <c r="AA101" s="8" t="n"/>
      <c r="AB101" s="8" t="n"/>
      <c r="AC101" s="8" t="n"/>
      <c r="AD101" s="8" t="n"/>
      <c r="AE101" s="8" t="n"/>
      <c r="AF101" s="8" t="n"/>
      <c r="AG101" s="9" t="n"/>
      <c r="AH101" s="8" t="n"/>
      <c r="AI101" s="8" t="n"/>
      <c r="AJ101" s="9" t="n"/>
      <c r="AK101" s="56">
        <f>COUNTA(L101:AJ101)</f>
        <v/>
      </c>
      <c r="AL101" s="95" t="n"/>
      <c r="AM101" s="10" t="n"/>
      <c r="AN101" s="10" t="n"/>
      <c r="AO101" s="11" t="n"/>
      <c r="AP101" s="11" t="n"/>
      <c r="AQ101" s="16" t="n"/>
      <c r="AR101" s="13" t="n"/>
      <c r="AS101" s="13" t="n"/>
      <c r="AT101" s="13" t="n"/>
      <c r="AU101" s="13" t="n"/>
    </row>
    <row r="102" ht="110.1" customFormat="1" customHeight="1" s="14" thickBot="1">
      <c r="A102" s="79" t="n">
        <v>67</v>
      </c>
      <c r="B102" s="213" t="inlineStr">
        <is>
          <t xml:space="preserve">Where?
What?　
How?　
Other info? </t>
        </is>
      </c>
      <c r="C102" s="200" t="n"/>
      <c r="D102" s="200" t="n"/>
      <c r="E102" s="200" t="n"/>
      <c r="F102" s="201" t="n"/>
      <c r="G102" s="4" t="n"/>
      <c r="H102" s="4" t="n"/>
      <c r="I102" s="78">
        <f>AK102</f>
        <v/>
      </c>
      <c r="J102" s="15" t="n"/>
      <c r="K102" s="6" t="n"/>
      <c r="L102" s="7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9" t="n"/>
      <c r="AA102" s="8" t="n"/>
      <c r="AB102" s="8" t="n"/>
      <c r="AC102" s="8" t="n"/>
      <c r="AD102" s="8" t="n"/>
      <c r="AE102" s="8" t="n"/>
      <c r="AF102" s="8" t="n"/>
      <c r="AG102" s="9" t="n"/>
      <c r="AH102" s="8" t="n"/>
      <c r="AI102" s="8" t="n"/>
      <c r="AJ102" s="9" t="n"/>
      <c r="AK102" s="56">
        <f>COUNTA(L102:AJ102)</f>
        <v/>
      </c>
      <c r="AL102" s="95" t="n"/>
      <c r="AM102" s="10" t="n"/>
      <c r="AN102" s="10" t="n"/>
      <c r="AO102" s="11" t="n"/>
      <c r="AP102" s="11" t="n"/>
      <c r="AQ102" s="16" t="n"/>
      <c r="AR102" s="13" t="n"/>
      <c r="AS102" s="13" t="n"/>
      <c r="AT102" s="13" t="n"/>
      <c r="AU102" s="13" t="n"/>
    </row>
    <row r="103" ht="110.1" customFormat="1" customHeight="1" s="14" thickBot="1">
      <c r="A103" s="79" t="n">
        <v>68</v>
      </c>
      <c r="B103" s="213" t="inlineStr">
        <is>
          <t xml:space="preserve">Where?
What?　
How?　
Other info? </t>
        </is>
      </c>
      <c r="C103" s="200" t="n"/>
      <c r="D103" s="200" t="n"/>
      <c r="E103" s="200" t="n"/>
      <c r="F103" s="201" t="n"/>
      <c r="G103" s="4" t="n"/>
      <c r="H103" s="4" t="n"/>
      <c r="I103" s="78">
        <f>AK103</f>
        <v/>
      </c>
      <c r="J103" s="15" t="n"/>
      <c r="K103" s="6" t="n"/>
      <c r="L103" s="7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9" t="n"/>
      <c r="AA103" s="8" t="n"/>
      <c r="AB103" s="8" t="n"/>
      <c r="AC103" s="8" t="n"/>
      <c r="AD103" s="8" t="n"/>
      <c r="AE103" s="8" t="n"/>
      <c r="AF103" s="8" t="n"/>
      <c r="AG103" s="9" t="n"/>
      <c r="AH103" s="8" t="n"/>
      <c r="AI103" s="8" t="n"/>
      <c r="AJ103" s="9" t="n"/>
      <c r="AK103" s="56">
        <f>COUNTA(L103:AJ103)</f>
        <v/>
      </c>
      <c r="AL103" s="95" t="n"/>
      <c r="AM103" s="10" t="n"/>
      <c r="AN103" s="10" t="n"/>
      <c r="AO103" s="11" t="n"/>
      <c r="AP103" s="11" t="n"/>
      <c r="AQ103" s="16" t="n"/>
      <c r="AR103" s="13" t="n"/>
      <c r="AS103" s="13" t="n"/>
      <c r="AT103" s="13" t="n"/>
      <c r="AU103" s="13" t="n"/>
    </row>
    <row r="104" ht="110.1" customFormat="1" customHeight="1" s="14" thickBot="1">
      <c r="A104" s="79" t="n">
        <v>69</v>
      </c>
      <c r="B104" s="213" t="inlineStr">
        <is>
          <t xml:space="preserve">Where?
What?　
How?　
Other info? </t>
        </is>
      </c>
      <c r="C104" s="200" t="n"/>
      <c r="D104" s="200" t="n"/>
      <c r="E104" s="200" t="n"/>
      <c r="F104" s="201" t="n"/>
      <c r="G104" s="4" t="n"/>
      <c r="H104" s="4" t="n"/>
      <c r="I104" s="78">
        <f>AK104</f>
        <v/>
      </c>
      <c r="J104" s="15" t="n"/>
      <c r="K104" s="6" t="n"/>
      <c r="L104" s="7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9" t="n"/>
      <c r="AA104" s="8" t="n"/>
      <c r="AB104" s="8" t="n"/>
      <c r="AC104" s="8" t="n"/>
      <c r="AD104" s="8" t="n"/>
      <c r="AE104" s="8" t="n"/>
      <c r="AF104" s="8" t="n"/>
      <c r="AG104" s="9" t="n"/>
      <c r="AH104" s="8" t="n"/>
      <c r="AI104" s="8" t="n"/>
      <c r="AJ104" s="9" t="n"/>
      <c r="AK104" s="56">
        <f>COUNTA(L104:AJ104)</f>
        <v/>
      </c>
      <c r="AL104" s="95" t="n"/>
      <c r="AM104" s="10" t="n"/>
      <c r="AN104" s="10" t="n"/>
      <c r="AO104" s="11" t="n"/>
      <c r="AP104" s="11" t="n"/>
      <c r="AQ104" s="16" t="n"/>
      <c r="AR104" s="13" t="n"/>
      <c r="AS104" s="13" t="n"/>
      <c r="AT104" s="13" t="n"/>
      <c r="AU104" s="13" t="n"/>
    </row>
    <row r="105" ht="110.1" customFormat="1" customHeight="1" s="14" thickBot="1">
      <c r="A105" s="79" t="n">
        <v>70</v>
      </c>
      <c r="B105" s="213" t="inlineStr">
        <is>
          <t xml:space="preserve">Where?
What?　
How?　
Other info? </t>
        </is>
      </c>
      <c r="C105" s="200" t="n"/>
      <c r="D105" s="200" t="n"/>
      <c r="E105" s="200" t="n"/>
      <c r="F105" s="201" t="n"/>
      <c r="G105" s="4" t="n"/>
      <c r="H105" s="4" t="n"/>
      <c r="I105" s="78">
        <f>AK105</f>
        <v/>
      </c>
      <c r="J105" s="15" t="n"/>
      <c r="K105" s="6" t="n"/>
      <c r="L105" s="7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9" t="n"/>
      <c r="AA105" s="8" t="n"/>
      <c r="AB105" s="8" t="n"/>
      <c r="AC105" s="8" t="n"/>
      <c r="AD105" s="8" t="n"/>
      <c r="AE105" s="8" t="n"/>
      <c r="AF105" s="8" t="n"/>
      <c r="AG105" s="9" t="n"/>
      <c r="AH105" s="8" t="n"/>
      <c r="AI105" s="8" t="n"/>
      <c r="AJ105" s="9" t="n"/>
      <c r="AK105" s="56">
        <f>COUNTA(L105:AJ105)</f>
        <v/>
      </c>
      <c r="AL105" s="95" t="n"/>
      <c r="AM105" s="10" t="n"/>
      <c r="AN105" s="10" t="n"/>
      <c r="AO105" s="11" t="n"/>
      <c r="AP105" s="11" t="n"/>
      <c r="AQ105" s="16" t="n"/>
      <c r="AR105" s="13" t="n"/>
      <c r="AS105" s="13" t="n"/>
      <c r="AT105" s="13" t="n"/>
      <c r="AU105" s="13" t="n"/>
    </row>
    <row r="106" ht="110.1" customFormat="1" customHeight="1" s="14" thickBot="1">
      <c r="A106" s="79" t="n">
        <v>71</v>
      </c>
      <c r="B106" s="213" t="inlineStr">
        <is>
          <t xml:space="preserve">Where?
What?　
How?　
Other info? </t>
        </is>
      </c>
      <c r="C106" s="200" t="n"/>
      <c r="D106" s="200" t="n"/>
      <c r="E106" s="200" t="n"/>
      <c r="F106" s="201" t="n"/>
      <c r="G106" s="4" t="n"/>
      <c r="H106" s="4" t="n"/>
      <c r="I106" s="78">
        <f>AK106</f>
        <v/>
      </c>
      <c r="J106" s="15" t="n"/>
      <c r="K106" s="6" t="n"/>
      <c r="L106" s="7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9" t="n"/>
      <c r="AA106" s="8" t="n"/>
      <c r="AB106" s="8" t="n"/>
      <c r="AC106" s="8" t="n"/>
      <c r="AD106" s="8" t="n"/>
      <c r="AE106" s="8" t="n"/>
      <c r="AF106" s="8" t="n"/>
      <c r="AG106" s="9" t="n"/>
      <c r="AH106" s="8" t="n"/>
      <c r="AI106" s="8" t="n"/>
      <c r="AJ106" s="9" t="n"/>
      <c r="AK106" s="56">
        <f>COUNTA(L106:AJ106)</f>
        <v/>
      </c>
      <c r="AL106" s="95" t="n"/>
      <c r="AM106" s="10" t="n"/>
      <c r="AN106" s="10" t="n"/>
      <c r="AO106" s="11" t="n"/>
      <c r="AP106" s="11" t="n"/>
      <c r="AQ106" s="16" t="n"/>
      <c r="AR106" s="13" t="n"/>
      <c r="AS106" s="13" t="n"/>
      <c r="AT106" s="13" t="n"/>
      <c r="AU106" s="13" t="n"/>
    </row>
    <row r="107" ht="110.1" customFormat="1" customHeight="1" s="14" thickBot="1">
      <c r="A107" s="79" t="n">
        <v>72</v>
      </c>
      <c r="B107" s="213" t="inlineStr">
        <is>
          <t xml:space="preserve">Where?
What?　
How?　
Other info? </t>
        </is>
      </c>
      <c r="C107" s="200" t="n"/>
      <c r="D107" s="200" t="n"/>
      <c r="E107" s="200" t="n"/>
      <c r="F107" s="201" t="n"/>
      <c r="G107" s="4" t="n"/>
      <c r="H107" s="4" t="n"/>
      <c r="I107" s="78">
        <f>AK107</f>
        <v/>
      </c>
      <c r="J107" s="15" t="n"/>
      <c r="K107" s="6" t="n"/>
      <c r="L107" s="7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9" t="n"/>
      <c r="AA107" s="8" t="n"/>
      <c r="AB107" s="8" t="n"/>
      <c r="AC107" s="8" t="n"/>
      <c r="AD107" s="8" t="n"/>
      <c r="AE107" s="8" t="n"/>
      <c r="AF107" s="8" t="n"/>
      <c r="AG107" s="9" t="n"/>
      <c r="AH107" s="8" t="n"/>
      <c r="AI107" s="8" t="n"/>
      <c r="AJ107" s="9" t="n"/>
      <c r="AK107" s="56">
        <f>COUNTA(L107:AJ107)</f>
        <v/>
      </c>
      <c r="AL107" s="95" t="n"/>
      <c r="AM107" s="10" t="n"/>
      <c r="AN107" s="10" t="n"/>
      <c r="AO107" s="11" t="n"/>
      <c r="AP107" s="11" t="n"/>
      <c r="AQ107" s="16" t="n"/>
      <c r="AR107" s="13" t="n"/>
      <c r="AS107" s="13" t="n"/>
      <c r="AT107" s="13" t="n"/>
      <c r="AU107" s="13" t="n"/>
    </row>
    <row r="108" ht="110.1" customFormat="1" customHeight="1" s="14" thickBot="1">
      <c r="A108" s="79" t="n">
        <v>73</v>
      </c>
      <c r="B108" s="213" t="inlineStr">
        <is>
          <t xml:space="preserve">Where?
What?　
How?　
Other info? </t>
        </is>
      </c>
      <c r="C108" s="200" t="n"/>
      <c r="D108" s="200" t="n"/>
      <c r="E108" s="200" t="n"/>
      <c r="F108" s="201" t="n"/>
      <c r="G108" s="4" t="n"/>
      <c r="H108" s="4" t="n"/>
      <c r="I108" s="78">
        <f>AK108</f>
        <v/>
      </c>
      <c r="J108" s="15" t="n"/>
      <c r="K108" s="6" t="n"/>
      <c r="L108" s="7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9" t="n"/>
      <c r="AA108" s="8" t="n"/>
      <c r="AB108" s="8" t="n"/>
      <c r="AC108" s="8" t="n"/>
      <c r="AD108" s="8" t="n"/>
      <c r="AE108" s="8" t="n"/>
      <c r="AF108" s="8" t="n"/>
      <c r="AG108" s="9" t="n"/>
      <c r="AH108" s="8" t="n"/>
      <c r="AI108" s="8" t="n"/>
      <c r="AJ108" s="9" t="n"/>
      <c r="AK108" s="56">
        <f>COUNTA(L108:AJ108)</f>
        <v/>
      </c>
      <c r="AL108" s="95" t="n"/>
      <c r="AM108" s="10" t="n"/>
      <c r="AN108" s="10" t="n"/>
      <c r="AO108" s="11" t="n"/>
      <c r="AP108" s="11" t="n"/>
      <c r="AQ108" s="16" t="n"/>
      <c r="AR108" s="13" t="n"/>
      <c r="AS108" s="13" t="n"/>
      <c r="AT108" s="13" t="n"/>
      <c r="AU108" s="13" t="n"/>
    </row>
    <row r="109" ht="110.1" customFormat="1" customHeight="1" s="14" thickBot="1">
      <c r="A109" s="79" t="n">
        <v>74</v>
      </c>
      <c r="B109" s="213" t="inlineStr">
        <is>
          <t xml:space="preserve">Where?
What?　
How?　
Other info? </t>
        </is>
      </c>
      <c r="C109" s="200" t="n"/>
      <c r="D109" s="200" t="n"/>
      <c r="E109" s="200" t="n"/>
      <c r="F109" s="201" t="n"/>
      <c r="G109" s="4" t="n"/>
      <c r="H109" s="4" t="n"/>
      <c r="I109" s="78">
        <f>AK109</f>
        <v/>
      </c>
      <c r="J109" s="15" t="n"/>
      <c r="K109" s="6" t="n"/>
      <c r="L109" s="7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9" t="n"/>
      <c r="AA109" s="8" t="n"/>
      <c r="AB109" s="8" t="n"/>
      <c r="AC109" s="8" t="n"/>
      <c r="AD109" s="8" t="n"/>
      <c r="AE109" s="8" t="n"/>
      <c r="AF109" s="8" t="n"/>
      <c r="AG109" s="9" t="n"/>
      <c r="AH109" s="8" t="n"/>
      <c r="AI109" s="8" t="n"/>
      <c r="AJ109" s="9" t="n"/>
      <c r="AK109" s="56">
        <f>COUNTA(L109:AJ109)</f>
        <v/>
      </c>
      <c r="AL109" s="95" t="n"/>
      <c r="AM109" s="10" t="n"/>
      <c r="AN109" s="10" t="n"/>
      <c r="AO109" s="11" t="n"/>
      <c r="AP109" s="11" t="n"/>
      <c r="AQ109" s="16" t="n"/>
      <c r="AR109" s="13" t="n"/>
      <c r="AS109" s="13" t="n"/>
      <c r="AT109" s="13" t="n"/>
      <c r="AU109" s="13" t="n"/>
    </row>
    <row r="110" ht="110.1" customFormat="1" customHeight="1" s="14" thickBot="1">
      <c r="A110" s="79" t="n">
        <v>75</v>
      </c>
      <c r="B110" s="213" t="inlineStr">
        <is>
          <t xml:space="preserve">Where?
What?　
How?　
Other info? </t>
        </is>
      </c>
      <c r="C110" s="200" t="n"/>
      <c r="D110" s="200" t="n"/>
      <c r="E110" s="200" t="n"/>
      <c r="F110" s="201" t="n"/>
      <c r="G110" s="17" t="n"/>
      <c r="H110" s="4" t="n"/>
      <c r="I110" s="78">
        <f>AK110</f>
        <v/>
      </c>
      <c r="J110" s="15" t="n"/>
      <c r="K110" s="6" t="n"/>
      <c r="L110" s="7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9" t="n"/>
      <c r="AA110" s="8" t="n"/>
      <c r="AB110" s="8" t="n"/>
      <c r="AC110" s="8" t="n"/>
      <c r="AD110" s="8" t="n"/>
      <c r="AE110" s="8" t="n"/>
      <c r="AF110" s="8" t="n"/>
      <c r="AG110" s="9" t="n"/>
      <c r="AH110" s="8" t="n"/>
      <c r="AI110" s="8" t="n"/>
      <c r="AJ110" s="9" t="n"/>
      <c r="AK110" s="56">
        <f>COUNTA(L110:AJ110)</f>
        <v/>
      </c>
      <c r="AL110" s="95" t="n"/>
      <c r="AM110" s="10" t="n"/>
      <c r="AN110" s="10" t="n"/>
      <c r="AO110" s="11" t="n"/>
      <c r="AP110" s="11" t="n"/>
      <c r="AQ110" s="16" t="n"/>
      <c r="AR110" s="13" t="n"/>
      <c r="AS110" s="13" t="n"/>
      <c r="AT110" s="13" t="n"/>
      <c r="AU110" s="13" t="n"/>
    </row>
    <row r="111" ht="110.1" customHeight="1" s="110" thickBot="1">
      <c r="A111" s="79" t="n">
        <v>76</v>
      </c>
      <c r="B111" s="213" t="inlineStr">
        <is>
          <t xml:space="preserve">Where?
What?　
How?　
Other info? </t>
        </is>
      </c>
      <c r="C111" s="200" t="n"/>
      <c r="D111" s="200" t="n"/>
      <c r="E111" s="200" t="n"/>
      <c r="F111" s="201" t="n"/>
      <c r="G111" s="4" t="n"/>
      <c r="H111" s="4" t="n"/>
      <c r="I111" s="78">
        <f>AK111</f>
        <v/>
      </c>
      <c r="J111" s="6" t="n"/>
      <c r="K111" s="6" t="n"/>
      <c r="L111" s="7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9" t="n"/>
      <c r="AA111" s="8" t="n"/>
      <c r="AB111" s="8" t="n"/>
      <c r="AC111" s="8" t="n"/>
      <c r="AD111" s="8" t="n"/>
      <c r="AE111" s="8" t="n"/>
      <c r="AF111" s="8" t="n"/>
      <c r="AG111" s="9" t="n"/>
      <c r="AH111" s="8" t="n"/>
      <c r="AI111" s="8" t="n"/>
      <c r="AJ111" s="9" t="n"/>
      <c r="AK111" s="56">
        <f>COUNTA(L111:AJ111)</f>
        <v/>
      </c>
      <c r="AL111" s="95" t="n"/>
      <c r="AM111" s="10" t="n"/>
      <c r="AN111" s="10" t="n"/>
      <c r="AO111" s="17" t="n"/>
      <c r="AP111" s="19" t="n"/>
      <c r="AQ111" s="20" t="n"/>
      <c r="AR111" s="21" t="n"/>
      <c r="AS111" s="13" t="n"/>
      <c r="AT111" s="13" t="n"/>
      <c r="AU111" s="13" t="n"/>
    </row>
    <row r="112" ht="110.1" customHeight="1" s="110" thickBot="1">
      <c r="A112" s="79" t="n">
        <v>77</v>
      </c>
      <c r="B112" s="213" t="inlineStr">
        <is>
          <t xml:space="preserve">Where?
What?　
How?　
Other info? </t>
        </is>
      </c>
      <c r="C112" s="200" t="n"/>
      <c r="D112" s="200" t="n"/>
      <c r="E112" s="200" t="n"/>
      <c r="F112" s="201" t="n"/>
      <c r="G112" s="4" t="n"/>
      <c r="H112" s="4" t="n"/>
      <c r="I112" s="78">
        <f>AK112</f>
        <v/>
      </c>
      <c r="J112" s="6" t="n"/>
      <c r="K112" s="6" t="n"/>
      <c r="L112" s="7" t="n"/>
      <c r="M112" s="8" t="n"/>
      <c r="N112" s="8" t="n"/>
      <c r="O112" s="8" t="n"/>
      <c r="P112" s="23" t="n"/>
      <c r="Q112" s="23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9" t="n"/>
      <c r="AA112" s="8" t="n"/>
      <c r="AB112" s="8" t="n"/>
      <c r="AC112" s="8" t="n"/>
      <c r="AD112" s="8" t="n"/>
      <c r="AE112" s="8" t="n"/>
      <c r="AF112" s="8" t="n"/>
      <c r="AG112" s="9" t="n"/>
      <c r="AH112" s="8" t="n"/>
      <c r="AI112" s="8" t="n"/>
      <c r="AJ112" s="9" t="n"/>
      <c r="AK112" s="56">
        <f>COUNTA(L112:AJ112)</f>
        <v/>
      </c>
      <c r="AL112" s="95" t="n"/>
      <c r="AM112" s="10" t="n"/>
      <c r="AN112" s="10" t="n"/>
      <c r="AO112" s="17" t="n"/>
      <c r="AP112" s="19" t="n"/>
      <c r="AQ112" s="20" t="n"/>
      <c r="AR112" s="21" t="n"/>
      <c r="AS112" s="13" t="n"/>
      <c r="AT112" s="13" t="n"/>
      <c r="AU112" s="13" t="n"/>
    </row>
    <row r="113" ht="110.1" customHeight="1" s="110" thickBot="1">
      <c r="A113" s="79" t="n">
        <v>78</v>
      </c>
      <c r="B113" s="213" t="inlineStr">
        <is>
          <t xml:space="preserve">Where?
What?　
How?　
Other info? </t>
        </is>
      </c>
      <c r="C113" s="200" t="n"/>
      <c r="D113" s="200" t="n"/>
      <c r="E113" s="200" t="n"/>
      <c r="F113" s="201" t="n"/>
      <c r="G113" s="4" t="n"/>
      <c r="H113" s="4" t="n"/>
      <c r="I113" s="78">
        <f>AK113</f>
        <v/>
      </c>
      <c r="J113" s="6" t="n"/>
      <c r="K113" s="6" t="n"/>
      <c r="L113" s="7" t="n"/>
      <c r="M113" s="8" t="n"/>
      <c r="N113" s="8" t="n"/>
      <c r="O113" s="8" t="n"/>
      <c r="P113" s="23" t="n"/>
      <c r="Q113" s="23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9" t="n"/>
      <c r="AA113" s="8" t="n"/>
      <c r="AB113" s="8" t="n"/>
      <c r="AC113" s="8" t="n"/>
      <c r="AD113" s="8" t="n"/>
      <c r="AE113" s="8" t="n"/>
      <c r="AF113" s="8" t="n"/>
      <c r="AG113" s="9" t="n"/>
      <c r="AH113" s="8" t="n"/>
      <c r="AI113" s="8" t="n"/>
      <c r="AJ113" s="9" t="n"/>
      <c r="AK113" s="56">
        <f>COUNTA(L113:AJ113)</f>
        <v/>
      </c>
      <c r="AL113" s="95" t="n"/>
      <c r="AM113" s="10" t="n"/>
      <c r="AN113" s="10" t="n"/>
      <c r="AO113" s="21" t="n"/>
      <c r="AP113" s="21" t="n"/>
      <c r="AQ113" s="21" t="n"/>
      <c r="AR113" s="21" t="n"/>
      <c r="AS113" s="13" t="n"/>
      <c r="AT113" s="13" t="n"/>
      <c r="AU113" s="13" t="n"/>
    </row>
    <row r="114" ht="110.1" customHeight="1" s="110" thickBot="1">
      <c r="A114" s="79" t="n">
        <v>79</v>
      </c>
      <c r="B114" s="213" t="inlineStr">
        <is>
          <t xml:space="preserve">Where?
What?　
How?　
Other info? </t>
        </is>
      </c>
      <c r="C114" s="200" t="n"/>
      <c r="D114" s="200" t="n"/>
      <c r="E114" s="200" t="n"/>
      <c r="F114" s="201" t="n"/>
      <c r="G114" s="4" t="n"/>
      <c r="H114" s="4" t="n"/>
      <c r="I114" s="78">
        <f>AK114</f>
        <v/>
      </c>
      <c r="J114" s="6" t="n"/>
      <c r="K114" s="6" t="n"/>
      <c r="L114" s="7" t="n"/>
      <c r="M114" s="8" t="n"/>
      <c r="N114" s="8" t="n"/>
      <c r="O114" s="8" t="n"/>
      <c r="P114" s="23" t="n"/>
      <c r="Q114" s="23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9" t="n"/>
      <c r="AA114" s="8" t="n"/>
      <c r="AB114" s="8" t="n"/>
      <c r="AC114" s="8" t="n"/>
      <c r="AD114" s="8" t="n"/>
      <c r="AE114" s="8" t="n"/>
      <c r="AF114" s="8" t="n"/>
      <c r="AG114" s="9" t="n"/>
      <c r="AH114" s="8" t="n"/>
      <c r="AI114" s="8" t="n"/>
      <c r="AJ114" s="9" t="n"/>
      <c r="AK114" s="56">
        <f>COUNTA(L114:AJ114)</f>
        <v/>
      </c>
      <c r="AL114" s="95" t="n"/>
      <c r="AM114" s="10" t="n"/>
      <c r="AN114" s="10" t="n"/>
      <c r="AO114" s="21" t="n"/>
      <c r="AP114" s="21" t="n"/>
      <c r="AQ114" s="21" t="n"/>
      <c r="AR114" s="21" t="n"/>
      <c r="AS114" s="13" t="n"/>
      <c r="AT114" s="13" t="n"/>
      <c r="AU114" s="13" t="n"/>
    </row>
    <row r="115" ht="110.1" customHeight="1" s="110" thickBot="1">
      <c r="A115" s="79" t="n">
        <v>80</v>
      </c>
      <c r="B115" s="213" t="inlineStr">
        <is>
          <t xml:space="preserve">Where?
What?　
How?　
Other info? </t>
        </is>
      </c>
      <c r="C115" s="200" t="n"/>
      <c r="D115" s="200" t="n"/>
      <c r="E115" s="200" t="n"/>
      <c r="F115" s="201" t="n"/>
      <c r="G115" s="4" t="n"/>
      <c r="H115" s="4" t="n"/>
      <c r="I115" s="78">
        <f>AK115</f>
        <v/>
      </c>
      <c r="J115" s="6" t="n"/>
      <c r="K115" s="6" t="n"/>
      <c r="L115" s="7" t="n"/>
      <c r="M115" s="8" t="n"/>
      <c r="N115" s="8" t="n"/>
      <c r="O115" s="8" t="n"/>
      <c r="P115" s="23" t="n"/>
      <c r="Q115" s="23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9" t="n"/>
      <c r="AA115" s="8" t="n"/>
      <c r="AB115" s="8" t="n"/>
      <c r="AC115" s="8" t="n"/>
      <c r="AD115" s="8" t="n"/>
      <c r="AE115" s="8" t="n"/>
      <c r="AF115" s="8" t="n"/>
      <c r="AG115" s="9" t="n"/>
      <c r="AH115" s="8" t="n"/>
      <c r="AI115" s="8" t="n"/>
      <c r="AJ115" s="9" t="n"/>
      <c r="AK115" s="56">
        <f>COUNTA(L115:AJ115)</f>
        <v/>
      </c>
      <c r="AL115" s="95" t="n"/>
      <c r="AM115" s="10" t="n"/>
      <c r="AN115" s="10" t="n"/>
      <c r="AO115" s="21" t="n"/>
      <c r="AP115" s="21" t="n"/>
      <c r="AQ115" s="21" t="n"/>
      <c r="AR115" s="21" t="n"/>
      <c r="AS115" s="13" t="n"/>
      <c r="AT115" s="13" t="n"/>
      <c r="AU115" s="13" t="n"/>
    </row>
    <row r="116" ht="110.1" customHeight="1" s="110" thickBot="1">
      <c r="A116" s="79" t="n">
        <v>81</v>
      </c>
      <c r="B116" s="213" t="inlineStr">
        <is>
          <t xml:space="preserve">Where?
What?　
How?　
Other info? </t>
        </is>
      </c>
      <c r="C116" s="200" t="n"/>
      <c r="D116" s="200" t="n"/>
      <c r="E116" s="200" t="n"/>
      <c r="F116" s="201" t="n"/>
      <c r="G116" s="4" t="n"/>
      <c r="H116" s="4" t="n"/>
      <c r="I116" s="78">
        <f>AK116</f>
        <v/>
      </c>
      <c r="J116" s="6" t="n"/>
      <c r="K116" s="6" t="n"/>
      <c r="L116" s="7" t="n"/>
      <c r="M116" s="8" t="n"/>
      <c r="N116" s="8" t="n"/>
      <c r="O116" s="8" t="n"/>
      <c r="P116" s="23" t="n"/>
      <c r="Q116" s="23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9" t="n"/>
      <c r="AA116" s="8" t="n"/>
      <c r="AB116" s="8" t="n"/>
      <c r="AC116" s="8" t="n"/>
      <c r="AD116" s="8" t="n"/>
      <c r="AE116" s="8" t="n"/>
      <c r="AF116" s="8" t="n"/>
      <c r="AG116" s="9" t="n"/>
      <c r="AH116" s="8" t="n"/>
      <c r="AI116" s="8" t="n"/>
      <c r="AJ116" s="9" t="n"/>
      <c r="AK116" s="56">
        <f>COUNTA(L116:AJ116)</f>
        <v/>
      </c>
      <c r="AL116" s="95" t="n"/>
      <c r="AM116" s="10" t="n"/>
      <c r="AN116" s="10" t="n"/>
      <c r="AO116" s="21" t="n"/>
      <c r="AP116" s="21" t="n"/>
      <c r="AQ116" s="21" t="n"/>
      <c r="AR116" s="21" t="n"/>
      <c r="AS116" s="13" t="n"/>
      <c r="AT116" s="13" t="n"/>
      <c r="AU116" s="13" t="n"/>
    </row>
    <row r="117" ht="110.1" customHeight="1" s="110" thickBot="1">
      <c r="A117" s="79" t="n">
        <v>82</v>
      </c>
      <c r="B117" s="213" t="inlineStr">
        <is>
          <t xml:space="preserve">Where?
What?　
How?　
Other info? </t>
        </is>
      </c>
      <c r="C117" s="200" t="n"/>
      <c r="D117" s="200" t="n"/>
      <c r="E117" s="200" t="n"/>
      <c r="F117" s="201" t="n"/>
      <c r="G117" s="4" t="n"/>
      <c r="H117" s="4" t="n"/>
      <c r="I117" s="78">
        <f>AK117</f>
        <v/>
      </c>
      <c r="J117" s="6" t="n"/>
      <c r="K117" s="6" t="n"/>
      <c r="L117" s="7" t="n"/>
      <c r="M117" s="8" t="n"/>
      <c r="N117" s="8" t="n"/>
      <c r="O117" s="8" t="n"/>
      <c r="P117" s="23" t="n"/>
      <c r="Q117" s="23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9" t="n"/>
      <c r="AA117" s="8" t="n"/>
      <c r="AB117" s="8" t="n"/>
      <c r="AC117" s="8" t="n"/>
      <c r="AD117" s="8" t="n"/>
      <c r="AE117" s="8" t="n"/>
      <c r="AF117" s="8" t="n"/>
      <c r="AG117" s="9" t="n"/>
      <c r="AH117" s="8" t="n"/>
      <c r="AI117" s="8" t="n"/>
      <c r="AJ117" s="9" t="n"/>
      <c r="AK117" s="56">
        <f>COUNTA(L117:AJ117)</f>
        <v/>
      </c>
      <c r="AL117" s="95" t="n"/>
      <c r="AM117" s="10" t="n"/>
      <c r="AN117" s="10" t="n"/>
      <c r="AO117" s="21" t="n"/>
      <c r="AP117" s="21" t="n"/>
      <c r="AQ117" s="21" t="n"/>
      <c r="AR117" s="21" t="n"/>
      <c r="AS117" s="13" t="n"/>
      <c r="AT117" s="13" t="n"/>
      <c r="AU117" s="13" t="n"/>
    </row>
    <row r="118" ht="110.1" customHeight="1" s="110" thickBot="1">
      <c r="A118" s="79" t="n">
        <v>83</v>
      </c>
      <c r="B118" s="213" t="inlineStr">
        <is>
          <t xml:space="preserve">Where?
What?　
How?　
Other info? </t>
        </is>
      </c>
      <c r="C118" s="200" t="n"/>
      <c r="D118" s="200" t="n"/>
      <c r="E118" s="200" t="n"/>
      <c r="F118" s="201" t="n"/>
      <c r="G118" s="4" t="n"/>
      <c r="H118" s="4" t="n"/>
      <c r="I118" s="78">
        <f>AK118</f>
        <v/>
      </c>
      <c r="J118" s="6" t="n"/>
      <c r="K118" s="6" t="n"/>
      <c r="L118" s="7" t="n"/>
      <c r="M118" s="8" t="n"/>
      <c r="N118" s="8" t="n"/>
      <c r="O118" s="8" t="n"/>
      <c r="P118" s="23" t="n"/>
      <c r="Q118" s="23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9" t="n"/>
      <c r="AA118" s="8" t="n"/>
      <c r="AB118" s="8" t="n"/>
      <c r="AC118" s="8" t="n"/>
      <c r="AD118" s="8" t="n"/>
      <c r="AE118" s="8" t="n"/>
      <c r="AF118" s="8" t="n"/>
      <c r="AG118" s="9" t="n"/>
      <c r="AH118" s="8" t="n"/>
      <c r="AI118" s="8" t="n"/>
      <c r="AJ118" s="9" t="n"/>
      <c r="AK118" s="56">
        <f>COUNTA(L118:AJ118)</f>
        <v/>
      </c>
      <c r="AL118" s="95" t="n"/>
      <c r="AM118" s="10" t="n"/>
      <c r="AN118" s="10" t="n"/>
      <c r="AO118" s="21" t="n"/>
      <c r="AP118" s="21" t="n"/>
      <c r="AQ118" s="21" t="n"/>
      <c r="AR118" s="21" t="n"/>
      <c r="AS118" s="13" t="n"/>
      <c r="AT118" s="13" t="n"/>
      <c r="AU118" s="13" t="n"/>
    </row>
    <row r="119" ht="110.1" customHeight="1" s="110" thickBot="1">
      <c r="A119" s="79" t="n">
        <v>84</v>
      </c>
      <c r="B119" s="213" t="inlineStr">
        <is>
          <t xml:space="preserve">Where?
What?　
How?　
Other info? </t>
        </is>
      </c>
      <c r="C119" s="200" t="n"/>
      <c r="D119" s="200" t="n"/>
      <c r="E119" s="200" t="n"/>
      <c r="F119" s="201" t="n"/>
      <c r="G119" s="4" t="n"/>
      <c r="H119" s="4" t="n"/>
      <c r="I119" s="78">
        <f>AK119</f>
        <v/>
      </c>
      <c r="J119" s="6" t="n"/>
      <c r="K119" s="6" t="n"/>
      <c r="L119" s="7" t="n"/>
      <c r="M119" s="8" t="n"/>
      <c r="N119" s="8" t="n"/>
      <c r="O119" s="8" t="n"/>
      <c r="P119" s="23" t="n"/>
      <c r="Q119" s="23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9" t="n"/>
      <c r="AA119" s="8" t="n"/>
      <c r="AB119" s="8" t="n"/>
      <c r="AC119" s="8" t="n"/>
      <c r="AD119" s="8" t="n"/>
      <c r="AE119" s="8" t="n"/>
      <c r="AF119" s="8" t="n"/>
      <c r="AG119" s="9" t="n"/>
      <c r="AH119" s="8" t="n"/>
      <c r="AI119" s="8" t="n"/>
      <c r="AJ119" s="9" t="n"/>
      <c r="AK119" s="56">
        <f>COUNTA(L119:AJ119)</f>
        <v/>
      </c>
      <c r="AL119" s="95" t="n"/>
      <c r="AM119" s="10" t="n"/>
      <c r="AN119" s="10" t="n"/>
      <c r="AO119" s="21" t="n"/>
      <c r="AP119" s="21" t="n"/>
      <c r="AQ119" s="21" t="n"/>
      <c r="AR119" s="21" t="n"/>
      <c r="AS119" s="13" t="n"/>
      <c r="AT119" s="13" t="n"/>
      <c r="AU119" s="13" t="n"/>
    </row>
    <row r="120" ht="110.1" customHeight="1" s="110" thickBot="1">
      <c r="A120" s="79" t="n">
        <v>85</v>
      </c>
      <c r="B120" s="213" t="inlineStr">
        <is>
          <t xml:space="preserve">Where?
What?　
How?　
Other info? </t>
        </is>
      </c>
      <c r="C120" s="200" t="n"/>
      <c r="D120" s="200" t="n"/>
      <c r="E120" s="200" t="n"/>
      <c r="F120" s="201" t="n"/>
      <c r="G120" s="4" t="n"/>
      <c r="H120" s="4" t="n"/>
      <c r="I120" s="78">
        <f>AK120</f>
        <v/>
      </c>
      <c r="J120" s="6" t="n"/>
      <c r="K120" s="6" t="n"/>
      <c r="L120" s="7" t="n"/>
      <c r="M120" s="8" t="n"/>
      <c r="N120" s="8" t="n"/>
      <c r="O120" s="8" t="n"/>
      <c r="P120" s="23" t="n"/>
      <c r="Q120" s="23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9" t="n"/>
      <c r="AA120" s="8" t="n"/>
      <c r="AB120" s="8" t="n"/>
      <c r="AC120" s="8" t="n"/>
      <c r="AD120" s="8" t="n"/>
      <c r="AE120" s="8" t="n"/>
      <c r="AF120" s="8" t="n"/>
      <c r="AG120" s="9" t="n"/>
      <c r="AH120" s="8" t="n"/>
      <c r="AI120" s="8" t="n"/>
      <c r="AJ120" s="9" t="n"/>
      <c r="AK120" s="56">
        <f>COUNTA(L120:AJ120)</f>
        <v/>
      </c>
      <c r="AL120" s="95" t="n"/>
      <c r="AM120" s="10" t="n"/>
      <c r="AN120" s="10" t="n"/>
      <c r="AO120" s="21" t="n"/>
      <c r="AP120" s="21" t="n"/>
      <c r="AQ120" s="21" t="n"/>
      <c r="AR120" s="21" t="n"/>
      <c r="AS120" s="13" t="n"/>
      <c r="AT120" s="13" t="n"/>
      <c r="AU120" s="13" t="n"/>
    </row>
    <row r="121" ht="110.1" customHeight="1" s="110" thickBot="1">
      <c r="A121" s="79" t="n">
        <v>86</v>
      </c>
      <c r="B121" s="213" t="inlineStr">
        <is>
          <t xml:space="preserve">Where?
What?　
How?　
Other info? </t>
        </is>
      </c>
      <c r="C121" s="200" t="n"/>
      <c r="D121" s="200" t="n"/>
      <c r="E121" s="200" t="n"/>
      <c r="F121" s="201" t="n"/>
      <c r="G121" s="4" t="n"/>
      <c r="H121" s="4" t="n"/>
      <c r="I121" s="78">
        <f>AK121</f>
        <v/>
      </c>
      <c r="J121" s="6" t="n"/>
      <c r="K121" s="6" t="n"/>
      <c r="L121" s="7" t="n"/>
      <c r="M121" s="8" t="n"/>
      <c r="N121" s="8" t="n"/>
      <c r="O121" s="8" t="n"/>
      <c r="P121" s="23" t="n"/>
      <c r="Q121" s="23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9" t="n"/>
      <c r="AA121" s="8" t="n"/>
      <c r="AB121" s="8" t="n"/>
      <c r="AC121" s="8" t="n"/>
      <c r="AD121" s="8" t="n"/>
      <c r="AE121" s="8" t="n"/>
      <c r="AF121" s="8" t="n"/>
      <c r="AG121" s="9" t="n"/>
      <c r="AH121" s="8" t="n"/>
      <c r="AI121" s="8" t="n"/>
      <c r="AJ121" s="9" t="n"/>
      <c r="AK121" s="56">
        <f>COUNTA(L121:AJ121)</f>
        <v/>
      </c>
      <c r="AL121" s="95" t="n"/>
      <c r="AM121" s="10" t="n"/>
      <c r="AN121" s="10" t="n"/>
      <c r="AO121" s="21" t="n"/>
      <c r="AP121" s="21" t="n"/>
      <c r="AQ121" s="21" t="n"/>
      <c r="AR121" s="21" t="n"/>
      <c r="AS121" s="13" t="n"/>
      <c r="AT121" s="13" t="n"/>
      <c r="AU121" s="13" t="n"/>
    </row>
    <row r="122" ht="110.1" customHeight="1" s="110" thickBot="1">
      <c r="A122" s="79" t="n">
        <v>87</v>
      </c>
      <c r="B122" s="213" t="inlineStr">
        <is>
          <t xml:space="preserve">Where?
What?　
How?　
Other info? </t>
        </is>
      </c>
      <c r="C122" s="200" t="n"/>
      <c r="D122" s="200" t="n"/>
      <c r="E122" s="200" t="n"/>
      <c r="F122" s="201" t="n"/>
      <c r="G122" s="4" t="n"/>
      <c r="H122" s="4" t="n"/>
      <c r="I122" s="78">
        <f>AK122</f>
        <v/>
      </c>
      <c r="J122" s="6" t="n"/>
      <c r="K122" s="6" t="n"/>
      <c r="L122" s="7" t="n"/>
      <c r="M122" s="8" t="n"/>
      <c r="N122" s="8" t="n"/>
      <c r="O122" s="8" t="n"/>
      <c r="P122" s="23" t="n"/>
      <c r="Q122" s="23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9" t="n"/>
      <c r="AA122" s="8" t="n"/>
      <c r="AB122" s="8" t="n"/>
      <c r="AC122" s="8" t="n"/>
      <c r="AD122" s="8" t="n"/>
      <c r="AE122" s="8" t="n"/>
      <c r="AF122" s="8" t="n"/>
      <c r="AG122" s="9" t="n"/>
      <c r="AH122" s="8" t="n"/>
      <c r="AI122" s="8" t="n"/>
      <c r="AJ122" s="9" t="n"/>
      <c r="AK122" s="56">
        <f>COUNTA(L122:AJ122)</f>
        <v/>
      </c>
      <c r="AL122" s="95" t="n"/>
      <c r="AM122" s="10" t="n"/>
      <c r="AN122" s="10" t="n"/>
      <c r="AO122" s="21" t="n"/>
      <c r="AP122" s="21" t="n"/>
      <c r="AQ122" s="21" t="n"/>
      <c r="AR122" s="21" t="n"/>
      <c r="AS122" s="13" t="n"/>
      <c r="AT122" s="13" t="n"/>
      <c r="AU122" s="13" t="n"/>
    </row>
    <row r="123" ht="110.1" customHeight="1" s="110" thickBot="1">
      <c r="A123" s="79" t="n">
        <v>88</v>
      </c>
      <c r="B123" s="213" t="inlineStr">
        <is>
          <t xml:space="preserve">Where?
What?　
How?　
Other info? </t>
        </is>
      </c>
      <c r="C123" s="200" t="n"/>
      <c r="D123" s="200" t="n"/>
      <c r="E123" s="200" t="n"/>
      <c r="F123" s="201" t="n"/>
      <c r="G123" s="4" t="n"/>
      <c r="H123" s="4" t="n"/>
      <c r="I123" s="78">
        <f>AK123</f>
        <v/>
      </c>
      <c r="J123" s="6" t="n"/>
      <c r="K123" s="6" t="n"/>
      <c r="L123" s="7" t="n"/>
      <c r="M123" s="8" t="n"/>
      <c r="N123" s="8" t="n"/>
      <c r="O123" s="8" t="n"/>
      <c r="P123" s="23" t="n"/>
      <c r="Q123" s="23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9" t="n"/>
      <c r="AA123" s="8" t="n"/>
      <c r="AB123" s="8" t="n"/>
      <c r="AC123" s="8" t="n"/>
      <c r="AD123" s="8" t="n"/>
      <c r="AE123" s="8" t="n"/>
      <c r="AF123" s="8" t="n"/>
      <c r="AG123" s="9" t="n"/>
      <c r="AH123" s="8" t="n"/>
      <c r="AI123" s="8" t="n"/>
      <c r="AJ123" s="9" t="n"/>
      <c r="AK123" s="56">
        <f>COUNTA(L123:AJ123)</f>
        <v/>
      </c>
      <c r="AL123" s="95" t="n"/>
      <c r="AM123" s="10" t="n"/>
      <c r="AN123" s="10" t="n"/>
      <c r="AO123" s="21" t="n"/>
      <c r="AP123" s="21" t="n"/>
      <c r="AQ123" s="21" t="n"/>
      <c r="AR123" s="21" t="n"/>
      <c r="AS123" s="13" t="n"/>
      <c r="AT123" s="13" t="n"/>
      <c r="AU123" s="13" t="n"/>
    </row>
    <row r="124" ht="110.1" customHeight="1" s="110" thickBot="1">
      <c r="A124" s="79" t="n">
        <v>89</v>
      </c>
      <c r="B124" s="213" t="inlineStr">
        <is>
          <t xml:space="preserve">Where?
What?　
How?　
Other info? </t>
        </is>
      </c>
      <c r="C124" s="200" t="n"/>
      <c r="D124" s="200" t="n"/>
      <c r="E124" s="200" t="n"/>
      <c r="F124" s="201" t="n"/>
      <c r="G124" s="4" t="n"/>
      <c r="H124" s="4" t="n"/>
      <c r="I124" s="78">
        <f>AK124</f>
        <v/>
      </c>
      <c r="J124" s="6" t="n"/>
      <c r="K124" s="6" t="n"/>
      <c r="L124" s="7" t="n"/>
      <c r="M124" s="8" t="n"/>
      <c r="N124" s="8" t="n"/>
      <c r="O124" s="8" t="n"/>
      <c r="P124" s="23" t="n"/>
      <c r="Q124" s="23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9" t="n"/>
      <c r="AA124" s="8" t="n"/>
      <c r="AB124" s="8" t="n"/>
      <c r="AC124" s="8" t="n"/>
      <c r="AD124" s="8" t="n"/>
      <c r="AE124" s="8" t="n"/>
      <c r="AF124" s="8" t="n"/>
      <c r="AG124" s="9" t="n"/>
      <c r="AH124" s="8" t="n"/>
      <c r="AI124" s="8" t="n"/>
      <c r="AJ124" s="9" t="n"/>
      <c r="AK124" s="56">
        <f>COUNTA(L124:AJ124)</f>
        <v/>
      </c>
      <c r="AL124" s="95" t="n"/>
      <c r="AM124" s="10" t="n"/>
      <c r="AN124" s="10" t="n"/>
      <c r="AO124" s="21" t="n"/>
      <c r="AP124" s="21" t="n"/>
      <c r="AQ124" s="21" t="n"/>
      <c r="AR124" s="21" t="n"/>
      <c r="AS124" s="13" t="n"/>
      <c r="AT124" s="13" t="n"/>
      <c r="AU124" s="13" t="n"/>
    </row>
    <row r="125" ht="110.1" customFormat="1" customHeight="1" s="14" thickBot="1">
      <c r="A125" s="79" t="n">
        <v>90</v>
      </c>
      <c r="B125" s="213" t="inlineStr">
        <is>
          <t xml:space="preserve">Where?
What?　
How?　
Other info? </t>
        </is>
      </c>
      <c r="C125" s="200" t="n"/>
      <c r="D125" s="200" t="n"/>
      <c r="E125" s="200" t="n"/>
      <c r="F125" s="201" t="n"/>
      <c r="G125" s="4" t="n"/>
      <c r="H125" s="4" t="n"/>
      <c r="I125" s="78">
        <f>AK125</f>
        <v/>
      </c>
      <c r="J125" s="15" t="n"/>
      <c r="K125" s="6" t="n"/>
      <c r="L125" s="7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9" t="n"/>
      <c r="AA125" s="8" t="n"/>
      <c r="AB125" s="8" t="n"/>
      <c r="AC125" s="8" t="n"/>
      <c r="AD125" s="8" t="n"/>
      <c r="AE125" s="8" t="n"/>
      <c r="AF125" s="8" t="n"/>
      <c r="AG125" s="9" t="n"/>
      <c r="AH125" s="8" t="n"/>
      <c r="AI125" s="8" t="n"/>
      <c r="AJ125" s="9" t="n"/>
      <c r="AK125" s="56">
        <f>COUNTA(L125:AJ125)</f>
        <v/>
      </c>
      <c r="AL125" s="95" t="n"/>
      <c r="AM125" s="10" t="n"/>
      <c r="AN125" s="10" t="n"/>
      <c r="AO125" s="11" t="n"/>
      <c r="AP125" s="11" t="n"/>
      <c r="AQ125" s="16" t="n"/>
      <c r="AR125" s="13" t="n"/>
      <c r="AS125" s="13" t="n"/>
      <c r="AT125" s="13" t="n"/>
      <c r="AU125" s="13" t="n"/>
    </row>
    <row r="126" ht="110.1" customFormat="1" customHeight="1" s="14" thickBot="1">
      <c r="A126" s="79" t="n">
        <v>91</v>
      </c>
      <c r="B126" s="213" t="inlineStr">
        <is>
          <t xml:space="preserve">Where?
What?　
How?　
Other info? </t>
        </is>
      </c>
      <c r="C126" s="200" t="n"/>
      <c r="D126" s="200" t="n"/>
      <c r="E126" s="200" t="n"/>
      <c r="F126" s="201" t="n"/>
      <c r="G126" s="4" t="n"/>
      <c r="H126" s="4" t="n"/>
      <c r="I126" s="78">
        <f>AK126</f>
        <v/>
      </c>
      <c r="J126" s="15" t="n"/>
      <c r="K126" s="6" t="n"/>
      <c r="L126" s="7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9" t="n"/>
      <c r="AA126" s="8" t="n"/>
      <c r="AB126" s="8" t="n"/>
      <c r="AC126" s="8" t="n"/>
      <c r="AD126" s="8" t="n"/>
      <c r="AE126" s="8" t="n"/>
      <c r="AF126" s="8" t="n"/>
      <c r="AG126" s="9" t="n"/>
      <c r="AH126" s="8" t="n"/>
      <c r="AI126" s="8" t="n"/>
      <c r="AJ126" s="9" t="n"/>
      <c r="AK126" s="56">
        <f>COUNTA(L126:AJ126)</f>
        <v/>
      </c>
      <c r="AL126" s="95" t="n"/>
      <c r="AM126" s="10" t="n"/>
      <c r="AN126" s="10" t="n"/>
      <c r="AO126" s="11" t="n"/>
      <c r="AP126" s="11" t="n"/>
      <c r="AQ126" s="16" t="n"/>
      <c r="AR126" s="13" t="n"/>
      <c r="AS126" s="13" t="n"/>
      <c r="AT126" s="13" t="n"/>
      <c r="AU126" s="13" t="n"/>
    </row>
    <row r="127" ht="110.1" customFormat="1" customHeight="1" s="14" thickBot="1">
      <c r="A127" s="79" t="n">
        <v>92</v>
      </c>
      <c r="B127" s="213" t="inlineStr">
        <is>
          <t xml:space="preserve">Where?
What?　
How?　
Other info? </t>
        </is>
      </c>
      <c r="C127" s="200" t="n"/>
      <c r="D127" s="200" t="n"/>
      <c r="E127" s="200" t="n"/>
      <c r="F127" s="201" t="n"/>
      <c r="G127" s="4" t="n"/>
      <c r="H127" s="4" t="n"/>
      <c r="I127" s="78">
        <f>AK127</f>
        <v/>
      </c>
      <c r="J127" s="15" t="n"/>
      <c r="K127" s="6" t="n"/>
      <c r="L127" s="7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9" t="n"/>
      <c r="AA127" s="8" t="n"/>
      <c r="AB127" s="8" t="n"/>
      <c r="AC127" s="8" t="n"/>
      <c r="AD127" s="8" t="n"/>
      <c r="AE127" s="8" t="n"/>
      <c r="AF127" s="8" t="n"/>
      <c r="AG127" s="9" t="n"/>
      <c r="AH127" s="8" t="n"/>
      <c r="AI127" s="8" t="n"/>
      <c r="AJ127" s="9" t="n"/>
      <c r="AK127" s="56">
        <f>COUNTA(L127:AJ127)</f>
        <v/>
      </c>
      <c r="AL127" s="95" t="n"/>
      <c r="AM127" s="10" t="n"/>
      <c r="AN127" s="10" t="n"/>
      <c r="AO127" s="11" t="n"/>
      <c r="AP127" s="11" t="n"/>
      <c r="AQ127" s="16" t="n"/>
      <c r="AR127" s="13" t="n"/>
      <c r="AS127" s="13" t="n"/>
      <c r="AT127" s="13" t="n"/>
      <c r="AU127" s="13" t="n"/>
    </row>
    <row r="128" ht="110.1" customFormat="1" customHeight="1" s="14" thickBot="1">
      <c r="A128" s="79" t="n">
        <v>93</v>
      </c>
      <c r="B128" s="213" t="inlineStr">
        <is>
          <t xml:space="preserve">Where?
What?　
How?　
Other info? </t>
        </is>
      </c>
      <c r="C128" s="200" t="n"/>
      <c r="D128" s="200" t="n"/>
      <c r="E128" s="200" t="n"/>
      <c r="F128" s="201" t="n"/>
      <c r="G128" s="4" t="n"/>
      <c r="H128" s="4" t="n"/>
      <c r="I128" s="78">
        <f>AK128</f>
        <v/>
      </c>
      <c r="J128" s="15" t="n"/>
      <c r="K128" s="24" t="n"/>
      <c r="L128" s="7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9" t="n"/>
      <c r="AA128" s="8" t="n"/>
      <c r="AB128" s="8" t="n"/>
      <c r="AC128" s="8" t="n"/>
      <c r="AD128" s="8" t="n"/>
      <c r="AE128" s="8" t="n"/>
      <c r="AF128" s="8" t="n"/>
      <c r="AG128" s="9" t="n"/>
      <c r="AH128" s="8" t="n"/>
      <c r="AI128" s="8" t="n"/>
      <c r="AJ128" s="9" t="n"/>
      <c r="AK128" s="56">
        <f>COUNTA(L128:AJ128)</f>
        <v/>
      </c>
      <c r="AL128" s="95" t="n"/>
      <c r="AM128" s="10" t="n"/>
      <c r="AN128" s="10" t="n"/>
      <c r="AO128" s="11" t="n"/>
      <c r="AP128" s="11" t="n"/>
      <c r="AQ128" s="16" t="n"/>
      <c r="AR128" s="13" t="n"/>
      <c r="AS128" s="13" t="n"/>
      <c r="AT128" s="13" t="n"/>
      <c r="AU128" s="13" t="n"/>
    </row>
    <row r="129" ht="110.1" customFormat="1" customHeight="1" s="14" thickBot="1">
      <c r="A129" s="79" t="n">
        <v>94</v>
      </c>
      <c r="B129" s="213" t="inlineStr">
        <is>
          <t xml:space="preserve">Where?
What?　
How?　
Other info? </t>
        </is>
      </c>
      <c r="C129" s="200" t="n"/>
      <c r="D129" s="200" t="n"/>
      <c r="E129" s="200" t="n"/>
      <c r="F129" s="201" t="n"/>
      <c r="G129" s="4" t="n"/>
      <c r="H129" s="4" t="n"/>
      <c r="I129" s="78">
        <f>AK129</f>
        <v/>
      </c>
      <c r="J129" s="15" t="n"/>
      <c r="K129" s="6" t="n"/>
      <c r="L129" s="7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9" t="n"/>
      <c r="AA129" s="8" t="n"/>
      <c r="AB129" s="8" t="n"/>
      <c r="AC129" s="8" t="n"/>
      <c r="AD129" s="8" t="n"/>
      <c r="AE129" s="8" t="n"/>
      <c r="AF129" s="8" t="n"/>
      <c r="AG129" s="9" t="n"/>
      <c r="AH129" s="8" t="n"/>
      <c r="AI129" s="8" t="n"/>
      <c r="AJ129" s="9" t="n"/>
      <c r="AK129" s="56">
        <f>COUNTA(L129:AJ129)</f>
        <v/>
      </c>
      <c r="AL129" s="95" t="n"/>
      <c r="AM129" s="10" t="n"/>
      <c r="AN129" s="10" t="n"/>
      <c r="AO129" s="11" t="n"/>
      <c r="AP129" s="11" t="n"/>
      <c r="AQ129" s="16" t="n"/>
      <c r="AR129" s="13" t="n"/>
      <c r="AS129" s="13" t="n"/>
      <c r="AT129" s="13" t="n"/>
      <c r="AU129" s="13" t="n"/>
    </row>
    <row r="130" ht="110.1" customFormat="1" customHeight="1" s="14" thickBot="1">
      <c r="A130" s="79" t="n">
        <v>95</v>
      </c>
      <c r="B130" s="213" t="inlineStr">
        <is>
          <t xml:space="preserve">Where?
What?　
How?　
Other info? </t>
        </is>
      </c>
      <c r="C130" s="200" t="n"/>
      <c r="D130" s="200" t="n"/>
      <c r="E130" s="200" t="n"/>
      <c r="F130" s="201" t="n"/>
      <c r="G130" s="4" t="n"/>
      <c r="H130" s="4" t="n"/>
      <c r="I130" s="78">
        <f>AK130</f>
        <v/>
      </c>
      <c r="J130" s="15" t="n"/>
      <c r="K130" s="6" t="n"/>
      <c r="L130" s="7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9" t="n"/>
      <c r="AA130" s="8" t="n"/>
      <c r="AB130" s="8" t="n"/>
      <c r="AC130" s="8" t="n"/>
      <c r="AD130" s="8" t="n"/>
      <c r="AE130" s="8" t="n"/>
      <c r="AF130" s="8" t="n"/>
      <c r="AG130" s="9" t="n"/>
      <c r="AH130" s="8" t="n"/>
      <c r="AI130" s="8" t="n"/>
      <c r="AJ130" s="9" t="n"/>
      <c r="AK130" s="56">
        <f>COUNTA(L130:AJ130)</f>
        <v/>
      </c>
      <c r="AL130" s="95" t="n"/>
      <c r="AM130" s="10" t="n"/>
      <c r="AN130" s="10" t="n"/>
      <c r="AO130" s="11" t="n"/>
      <c r="AP130" s="11" t="n"/>
      <c r="AQ130" s="16" t="n"/>
      <c r="AR130" s="13" t="n"/>
      <c r="AS130" s="13" t="n"/>
      <c r="AT130" s="13" t="n"/>
      <c r="AU130" s="13" t="n"/>
    </row>
    <row r="131" ht="110.1" customFormat="1" customHeight="1" s="14" thickBot="1">
      <c r="A131" s="79" t="n">
        <v>96</v>
      </c>
      <c r="B131" s="213" t="inlineStr">
        <is>
          <t xml:space="preserve">Where?
What?　
How?　
Other info? </t>
        </is>
      </c>
      <c r="C131" s="200" t="n"/>
      <c r="D131" s="200" t="n"/>
      <c r="E131" s="200" t="n"/>
      <c r="F131" s="201" t="n"/>
      <c r="G131" s="4" t="n"/>
      <c r="H131" s="4" t="n"/>
      <c r="I131" s="78">
        <f>AK131</f>
        <v/>
      </c>
      <c r="J131" s="15" t="n"/>
      <c r="K131" s="6" t="n"/>
      <c r="L131" s="7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9" t="n"/>
      <c r="AA131" s="8" t="n"/>
      <c r="AB131" s="8" t="n"/>
      <c r="AC131" s="8" t="n"/>
      <c r="AD131" s="8" t="n"/>
      <c r="AE131" s="8" t="n"/>
      <c r="AF131" s="8" t="n"/>
      <c r="AG131" s="9" t="n"/>
      <c r="AH131" s="8" t="n"/>
      <c r="AI131" s="8" t="n"/>
      <c r="AJ131" s="9" t="n"/>
      <c r="AK131" s="56">
        <f>COUNTA(L131:AJ131)</f>
        <v/>
      </c>
      <c r="AL131" s="95" t="n"/>
      <c r="AM131" s="10" t="n"/>
      <c r="AN131" s="10" t="n"/>
      <c r="AO131" s="11" t="n"/>
      <c r="AP131" s="11" t="n"/>
      <c r="AQ131" s="16" t="n"/>
      <c r="AR131" s="13" t="n"/>
      <c r="AS131" s="13" t="n"/>
      <c r="AT131" s="13" t="n"/>
      <c r="AU131" s="13" t="n"/>
    </row>
    <row r="132" ht="110.1" customFormat="1" customHeight="1" s="14" thickBot="1">
      <c r="A132" s="79" t="n">
        <v>97</v>
      </c>
      <c r="B132" s="213" t="inlineStr">
        <is>
          <t xml:space="preserve">Where?
What?　
How?　
Other info? </t>
        </is>
      </c>
      <c r="C132" s="200" t="n"/>
      <c r="D132" s="200" t="n"/>
      <c r="E132" s="200" t="n"/>
      <c r="F132" s="201" t="n"/>
      <c r="G132" s="4" t="n"/>
      <c r="H132" s="4" t="n"/>
      <c r="I132" s="78">
        <f>AK132</f>
        <v/>
      </c>
      <c r="J132" s="15" t="n"/>
      <c r="K132" s="6" t="n"/>
      <c r="L132" s="7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9" t="n"/>
      <c r="AA132" s="8" t="n"/>
      <c r="AB132" s="8" t="n"/>
      <c r="AC132" s="8" t="n"/>
      <c r="AD132" s="8" t="n"/>
      <c r="AE132" s="8" t="n"/>
      <c r="AF132" s="8" t="n"/>
      <c r="AG132" s="9" t="n"/>
      <c r="AH132" s="8" t="n"/>
      <c r="AI132" s="8" t="n"/>
      <c r="AJ132" s="9" t="n"/>
      <c r="AK132" s="56">
        <f>COUNTA(L132:AJ132)</f>
        <v/>
      </c>
      <c r="AL132" s="95" t="n"/>
      <c r="AM132" s="10" t="n"/>
      <c r="AN132" s="10" t="n"/>
      <c r="AO132" s="11" t="n"/>
      <c r="AP132" s="11" t="n"/>
      <c r="AQ132" s="16" t="n"/>
      <c r="AR132" s="13" t="n"/>
      <c r="AS132" s="13" t="n"/>
      <c r="AT132" s="13" t="n"/>
      <c r="AU132" s="13" t="n"/>
    </row>
    <row r="133" ht="110.1" customFormat="1" customHeight="1" s="14" thickBot="1">
      <c r="A133" s="79" t="n">
        <v>98</v>
      </c>
      <c r="B133" s="213" t="inlineStr">
        <is>
          <t xml:space="preserve">Where?
What?　
How?　
Other info? </t>
        </is>
      </c>
      <c r="C133" s="200" t="n"/>
      <c r="D133" s="200" t="n"/>
      <c r="E133" s="200" t="n"/>
      <c r="F133" s="201" t="n"/>
      <c r="G133" s="4" t="n"/>
      <c r="H133" s="4" t="n"/>
      <c r="I133" s="78">
        <f>AK133</f>
        <v/>
      </c>
      <c r="J133" s="15" t="n"/>
      <c r="K133" s="6" t="n"/>
      <c r="L133" s="7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9" t="n"/>
      <c r="AA133" s="8" t="n"/>
      <c r="AB133" s="8" t="n"/>
      <c r="AC133" s="8" t="n"/>
      <c r="AD133" s="8" t="n"/>
      <c r="AE133" s="8" t="n"/>
      <c r="AF133" s="8" t="n"/>
      <c r="AG133" s="9" t="n"/>
      <c r="AH133" s="8" t="n"/>
      <c r="AI133" s="8" t="n"/>
      <c r="AJ133" s="9" t="n"/>
      <c r="AK133" s="56">
        <f>COUNTA(L133:AJ133)</f>
        <v/>
      </c>
      <c r="AL133" s="95" t="n"/>
      <c r="AM133" s="10" t="n"/>
      <c r="AN133" s="10" t="n"/>
      <c r="AO133" s="11" t="n"/>
      <c r="AP133" s="11" t="n"/>
      <c r="AQ133" s="16" t="n"/>
      <c r="AR133" s="13" t="n"/>
      <c r="AS133" s="13" t="n"/>
      <c r="AT133" s="13" t="n"/>
      <c r="AU133" s="13" t="n"/>
    </row>
    <row r="134" ht="110.1" customFormat="1" customHeight="1" s="14" thickBot="1">
      <c r="A134" s="79" t="n">
        <v>99</v>
      </c>
      <c r="B134" s="213" t="inlineStr">
        <is>
          <t xml:space="preserve">Where?
What?　
How?　
Other info? </t>
        </is>
      </c>
      <c r="C134" s="200" t="n"/>
      <c r="D134" s="200" t="n"/>
      <c r="E134" s="200" t="n"/>
      <c r="F134" s="201" t="n"/>
      <c r="G134" s="4" t="n"/>
      <c r="H134" s="4" t="n"/>
      <c r="I134" s="78">
        <f>AK134</f>
        <v/>
      </c>
      <c r="J134" s="15" t="n"/>
      <c r="K134" s="6" t="n"/>
      <c r="L134" s="7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9" t="n"/>
      <c r="AA134" s="8" t="n"/>
      <c r="AB134" s="8" t="n"/>
      <c r="AC134" s="8" t="n"/>
      <c r="AD134" s="8" t="n"/>
      <c r="AE134" s="8" t="n"/>
      <c r="AF134" s="8" t="n"/>
      <c r="AG134" s="9" t="n"/>
      <c r="AH134" s="8" t="n"/>
      <c r="AI134" s="8" t="n"/>
      <c r="AJ134" s="9" t="n"/>
      <c r="AK134" s="56">
        <f>COUNTA(L134:AJ134)</f>
        <v/>
      </c>
      <c r="AL134" s="95" t="n"/>
      <c r="AM134" s="10" t="n"/>
      <c r="AN134" s="10" t="n"/>
      <c r="AO134" s="11" t="n"/>
      <c r="AP134" s="11" t="n"/>
      <c r="AQ134" s="16" t="n"/>
      <c r="AR134" s="13" t="n"/>
      <c r="AS134" s="13" t="n"/>
      <c r="AT134" s="13" t="n"/>
      <c r="AU134" s="13" t="n"/>
    </row>
    <row r="135" ht="110.1" customFormat="1" customHeight="1" s="14" thickBot="1">
      <c r="A135" s="79" t="n">
        <v>100</v>
      </c>
      <c r="B135" s="213" t="inlineStr">
        <is>
          <t xml:space="preserve">Where?
What?　
How?　
Other info? </t>
        </is>
      </c>
      <c r="C135" s="200" t="n"/>
      <c r="D135" s="200" t="n"/>
      <c r="E135" s="200" t="n"/>
      <c r="F135" s="201" t="n"/>
      <c r="G135" s="4" t="n"/>
      <c r="H135" s="4" t="n"/>
      <c r="I135" s="78">
        <f>AK135</f>
        <v/>
      </c>
      <c r="J135" s="15" t="n"/>
      <c r="K135" s="6" t="n"/>
      <c r="L135" s="7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9" t="n"/>
      <c r="AA135" s="8" t="n"/>
      <c r="AB135" s="8" t="n"/>
      <c r="AC135" s="8" t="n"/>
      <c r="AD135" s="8" t="n"/>
      <c r="AE135" s="8" t="n"/>
      <c r="AF135" s="8" t="n"/>
      <c r="AG135" s="9" t="n"/>
      <c r="AH135" s="8" t="n"/>
      <c r="AI135" s="8" t="n"/>
      <c r="AJ135" s="9" t="n"/>
      <c r="AK135" s="56">
        <f>COUNTA(L135:AJ135)</f>
        <v/>
      </c>
      <c r="AL135" s="95" t="n"/>
      <c r="AM135" s="10" t="n"/>
      <c r="AN135" s="10" t="n"/>
      <c r="AO135" s="11" t="n"/>
      <c r="AP135" s="11" t="n"/>
      <c r="AQ135" s="16" t="n"/>
      <c r="AR135" s="13" t="n"/>
      <c r="AS135" s="13" t="n"/>
      <c r="AT135" s="13" t="n"/>
      <c r="AU135" s="13" t="n"/>
    </row>
    <row r="136" ht="110.1" customFormat="1" customHeight="1" s="14" thickBot="1">
      <c r="A136" s="79" t="n">
        <v>101</v>
      </c>
      <c r="B136" s="213" t="inlineStr">
        <is>
          <t xml:space="preserve">Where?
What?　
How?　
Other info? </t>
        </is>
      </c>
      <c r="C136" s="200" t="n"/>
      <c r="D136" s="200" t="n"/>
      <c r="E136" s="200" t="n"/>
      <c r="F136" s="201" t="n"/>
      <c r="G136" s="17" t="n"/>
      <c r="H136" s="4" t="n"/>
      <c r="I136" s="78">
        <f>AK136</f>
        <v/>
      </c>
      <c r="J136" s="15" t="n"/>
      <c r="K136" s="6" t="n"/>
      <c r="L136" s="7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9" t="n"/>
      <c r="AA136" s="8" t="n"/>
      <c r="AB136" s="8" t="n"/>
      <c r="AC136" s="8" t="n"/>
      <c r="AD136" s="8" t="n"/>
      <c r="AE136" s="8" t="n"/>
      <c r="AF136" s="8" t="n"/>
      <c r="AG136" s="9" t="n"/>
      <c r="AH136" s="8" t="n"/>
      <c r="AI136" s="8" t="n"/>
      <c r="AJ136" s="9" t="n"/>
      <c r="AK136" s="56">
        <f>COUNTA(L136:AJ136)</f>
        <v/>
      </c>
      <c r="AL136" s="95" t="n"/>
      <c r="AM136" s="10" t="n"/>
      <c r="AN136" s="10" t="n"/>
      <c r="AO136" s="11" t="n"/>
      <c r="AP136" s="11" t="n"/>
      <c r="AQ136" s="16" t="n"/>
      <c r="AR136" s="13" t="n"/>
      <c r="AS136" s="13" t="n"/>
      <c r="AT136" s="13" t="n"/>
      <c r="AU136" s="13" t="n"/>
    </row>
    <row r="137" ht="110.1" customFormat="1" customHeight="1" s="14" thickBot="1">
      <c r="A137" s="79" t="n">
        <v>102</v>
      </c>
      <c r="B137" s="213" t="inlineStr">
        <is>
          <t xml:space="preserve">Where?
What?　
How?　
Other info? </t>
        </is>
      </c>
      <c r="C137" s="200" t="n"/>
      <c r="D137" s="200" t="n"/>
      <c r="E137" s="200" t="n"/>
      <c r="F137" s="201" t="n"/>
      <c r="G137" s="4" t="n"/>
      <c r="H137" s="4" t="n"/>
      <c r="I137" s="78">
        <f>AK137</f>
        <v/>
      </c>
      <c r="J137" s="18" t="n"/>
      <c r="K137" s="6" t="n"/>
      <c r="L137" s="7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9" t="n"/>
      <c r="AA137" s="8" t="n"/>
      <c r="AB137" s="8" t="n"/>
      <c r="AC137" s="8" t="n"/>
      <c r="AD137" s="8" t="n"/>
      <c r="AE137" s="8" t="n"/>
      <c r="AF137" s="8" t="n"/>
      <c r="AG137" s="9" t="n"/>
      <c r="AH137" s="8" t="n"/>
      <c r="AI137" s="8" t="n"/>
      <c r="AJ137" s="9" t="n"/>
      <c r="AK137" s="56">
        <f>COUNTA(L137:AJ137)</f>
        <v/>
      </c>
      <c r="AL137" s="95" t="n"/>
      <c r="AM137" s="10" t="n"/>
      <c r="AN137" s="10" t="n"/>
      <c r="AO137" s="11" t="n"/>
      <c r="AP137" s="11" t="n"/>
      <c r="AQ137" s="16" t="n"/>
      <c r="AR137" s="13" t="n"/>
      <c r="AS137" s="13" t="n"/>
      <c r="AT137" s="13" t="n"/>
      <c r="AU137" s="13" t="n"/>
    </row>
    <row r="138" ht="110.1" customHeight="1" s="110" thickBot="1">
      <c r="A138" s="79" t="n">
        <v>103</v>
      </c>
      <c r="B138" s="213" t="inlineStr">
        <is>
          <t xml:space="preserve">Where?
What?　
How?　
Other info? </t>
        </is>
      </c>
      <c r="C138" s="200" t="n"/>
      <c r="D138" s="200" t="n"/>
      <c r="E138" s="200" t="n"/>
      <c r="F138" s="201" t="n"/>
      <c r="G138" s="4" t="n"/>
      <c r="H138" s="4" t="n"/>
      <c r="I138" s="78">
        <f>AK138</f>
        <v/>
      </c>
      <c r="J138" s="6" t="n"/>
      <c r="K138" s="6" t="n"/>
      <c r="L138" s="7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9" t="n"/>
      <c r="AA138" s="8" t="n"/>
      <c r="AB138" s="8" t="n"/>
      <c r="AC138" s="8" t="n"/>
      <c r="AD138" s="8" t="n"/>
      <c r="AE138" s="8" t="n"/>
      <c r="AF138" s="8" t="n"/>
      <c r="AG138" s="9" t="n"/>
      <c r="AH138" s="8" t="n"/>
      <c r="AI138" s="8" t="n"/>
      <c r="AJ138" s="9" t="n"/>
      <c r="AK138" s="56">
        <f>COUNTA(L138:AJ138)</f>
        <v/>
      </c>
      <c r="AL138" s="95" t="n"/>
      <c r="AM138" s="10" t="n"/>
      <c r="AN138" s="10" t="n"/>
      <c r="AO138" s="17" t="n"/>
      <c r="AP138" s="19" t="n"/>
      <c r="AQ138" s="20" t="n"/>
      <c r="AR138" s="21" t="n"/>
      <c r="AS138" s="13" t="n"/>
      <c r="AT138" s="13" t="n"/>
      <c r="AU138" s="13" t="n"/>
    </row>
    <row r="139" ht="110.1" customHeight="1" s="110" thickBot="1">
      <c r="A139" s="79" t="n">
        <v>104</v>
      </c>
      <c r="B139" s="213" t="inlineStr">
        <is>
          <t xml:space="preserve">Where?
What?　
How?　
Other info? </t>
        </is>
      </c>
      <c r="C139" s="200" t="n"/>
      <c r="D139" s="200" t="n"/>
      <c r="E139" s="200" t="n"/>
      <c r="F139" s="201" t="n"/>
      <c r="G139" s="4" t="n"/>
      <c r="H139" s="4" t="n"/>
      <c r="I139" s="78">
        <f>AK139</f>
        <v/>
      </c>
      <c r="J139" s="6" t="n"/>
      <c r="K139" s="6" t="n"/>
      <c r="L139" s="7" t="n"/>
      <c r="M139" s="8" t="n"/>
      <c r="N139" s="8" t="n"/>
      <c r="O139" s="8" t="n"/>
      <c r="P139" s="23" t="n"/>
      <c r="Q139" s="23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9" t="n"/>
      <c r="AA139" s="8" t="n"/>
      <c r="AB139" s="8" t="n"/>
      <c r="AC139" s="8" t="n"/>
      <c r="AD139" s="8" t="n"/>
      <c r="AE139" s="8" t="n"/>
      <c r="AF139" s="8" t="n"/>
      <c r="AG139" s="9" t="n"/>
      <c r="AH139" s="8" t="n"/>
      <c r="AI139" s="8" t="n"/>
      <c r="AJ139" s="9" t="n"/>
      <c r="AK139" s="56">
        <f>COUNTA(L139:AJ139)</f>
        <v/>
      </c>
      <c r="AL139" s="95" t="n"/>
      <c r="AM139" s="10" t="n"/>
      <c r="AN139" s="10" t="n"/>
      <c r="AO139" s="17" t="n"/>
      <c r="AP139" s="19" t="n"/>
      <c r="AQ139" s="20" t="n"/>
      <c r="AR139" s="21" t="n"/>
      <c r="AS139" s="13" t="n"/>
      <c r="AT139" s="13" t="n"/>
      <c r="AU139" s="13" t="n"/>
    </row>
    <row r="140" ht="110.1" customHeight="1" s="110" thickBot="1">
      <c r="A140" s="79" t="n">
        <v>105</v>
      </c>
      <c r="B140" s="213" t="inlineStr">
        <is>
          <t xml:space="preserve">Where?
What?　
How?　
Other info? </t>
        </is>
      </c>
      <c r="C140" s="200" t="n"/>
      <c r="D140" s="200" t="n"/>
      <c r="E140" s="200" t="n"/>
      <c r="F140" s="201" t="n"/>
      <c r="G140" s="4" t="n"/>
      <c r="H140" s="4" t="n"/>
      <c r="I140" s="78">
        <f>AK140</f>
        <v/>
      </c>
      <c r="J140" s="6" t="n"/>
      <c r="K140" s="6" t="n"/>
      <c r="L140" s="7" t="n"/>
      <c r="M140" s="8" t="n"/>
      <c r="N140" s="8" t="n"/>
      <c r="O140" s="8" t="n"/>
      <c r="P140" s="23" t="n"/>
      <c r="Q140" s="23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9" t="n"/>
      <c r="AA140" s="8" t="n"/>
      <c r="AB140" s="8" t="n"/>
      <c r="AC140" s="8" t="n"/>
      <c r="AD140" s="8" t="n"/>
      <c r="AE140" s="8" t="n"/>
      <c r="AF140" s="8" t="n"/>
      <c r="AG140" s="9" t="n"/>
      <c r="AH140" s="8" t="n"/>
      <c r="AI140" s="8" t="n"/>
      <c r="AJ140" s="9" t="n"/>
      <c r="AK140" s="56">
        <f>COUNTA(L140:AJ140)</f>
        <v/>
      </c>
      <c r="AL140" s="95" t="n"/>
      <c r="AM140" s="10" t="n"/>
      <c r="AN140" s="10" t="n"/>
      <c r="AO140" s="21" t="n"/>
      <c r="AP140" s="21" t="n"/>
      <c r="AQ140" s="21" t="n"/>
      <c r="AR140" s="21" t="n"/>
      <c r="AS140" s="13" t="n"/>
      <c r="AT140" s="13" t="n"/>
      <c r="AU140" s="13" t="n"/>
    </row>
    <row r="141" ht="110.1" customHeight="1" s="110" thickBot="1">
      <c r="A141" s="79" t="n">
        <v>106</v>
      </c>
      <c r="B141" s="213" t="inlineStr">
        <is>
          <t xml:space="preserve">Where?
What?　
How?　
Other info? </t>
        </is>
      </c>
      <c r="C141" s="200" t="n"/>
      <c r="D141" s="200" t="n"/>
      <c r="E141" s="200" t="n"/>
      <c r="F141" s="201" t="n"/>
      <c r="G141" s="4" t="n"/>
      <c r="H141" s="4" t="n"/>
      <c r="I141" s="78">
        <f>AK141</f>
        <v/>
      </c>
      <c r="J141" s="6" t="n"/>
      <c r="K141" s="6" t="n"/>
      <c r="L141" s="7" t="n"/>
      <c r="M141" s="8" t="n"/>
      <c r="N141" s="8" t="n"/>
      <c r="O141" s="8" t="n"/>
      <c r="P141" s="23" t="n"/>
      <c r="Q141" s="23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9" t="n"/>
      <c r="AA141" s="8" t="n"/>
      <c r="AB141" s="8" t="n"/>
      <c r="AC141" s="8" t="n"/>
      <c r="AD141" s="8" t="n"/>
      <c r="AE141" s="8" t="n"/>
      <c r="AF141" s="8" t="n"/>
      <c r="AG141" s="9" t="n"/>
      <c r="AH141" s="8" t="n"/>
      <c r="AI141" s="8" t="n"/>
      <c r="AJ141" s="9" t="n"/>
      <c r="AK141" s="56">
        <f>COUNTA(L141:AJ141)</f>
        <v/>
      </c>
      <c r="AL141" s="95" t="n"/>
      <c r="AM141" s="10" t="n"/>
      <c r="AN141" s="10" t="n"/>
      <c r="AO141" s="21" t="n"/>
      <c r="AP141" s="21" t="n"/>
      <c r="AQ141" s="21" t="n"/>
      <c r="AR141" s="21" t="n"/>
      <c r="AS141" s="13" t="n"/>
      <c r="AT141" s="13" t="n"/>
      <c r="AU141" s="13" t="n"/>
    </row>
    <row r="142" ht="110.1" customHeight="1" s="110" thickBot="1">
      <c r="A142" s="79" t="n">
        <v>107</v>
      </c>
      <c r="B142" s="213" t="inlineStr">
        <is>
          <t xml:space="preserve">Where?
What?　
How?　
Other info? </t>
        </is>
      </c>
      <c r="C142" s="200" t="n"/>
      <c r="D142" s="200" t="n"/>
      <c r="E142" s="200" t="n"/>
      <c r="F142" s="201" t="n"/>
      <c r="G142" s="4" t="n"/>
      <c r="H142" s="4" t="n"/>
      <c r="I142" s="78">
        <f>AK142</f>
        <v/>
      </c>
      <c r="J142" s="6" t="n"/>
      <c r="K142" s="6" t="n"/>
      <c r="L142" s="7" t="n"/>
      <c r="M142" s="8" t="n"/>
      <c r="N142" s="8" t="n"/>
      <c r="O142" s="8" t="n"/>
      <c r="P142" s="23" t="n"/>
      <c r="Q142" s="23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9" t="n"/>
      <c r="AA142" s="8" t="n"/>
      <c r="AB142" s="8" t="n"/>
      <c r="AC142" s="8" t="n"/>
      <c r="AD142" s="8" t="n"/>
      <c r="AE142" s="8" t="n"/>
      <c r="AF142" s="8" t="n"/>
      <c r="AG142" s="9" t="n"/>
      <c r="AH142" s="8" t="n"/>
      <c r="AI142" s="8" t="n"/>
      <c r="AJ142" s="9" t="n"/>
      <c r="AK142" s="56">
        <f>COUNTA(L142:AJ142)</f>
        <v/>
      </c>
      <c r="AL142" s="95" t="n"/>
      <c r="AM142" s="10" t="n"/>
      <c r="AN142" s="10" t="n"/>
      <c r="AO142" s="21" t="n"/>
      <c r="AP142" s="21" t="n"/>
      <c r="AQ142" s="21" t="n"/>
      <c r="AR142" s="21" t="n"/>
      <c r="AS142" s="13" t="n"/>
      <c r="AT142" s="13" t="n"/>
      <c r="AU142" s="13" t="n"/>
    </row>
    <row r="143" ht="110.1" customHeight="1" s="110" thickBot="1">
      <c r="A143" s="79" t="n">
        <v>108</v>
      </c>
      <c r="B143" s="213" t="inlineStr">
        <is>
          <t xml:space="preserve">Where?
What?　
How?　
Other info? </t>
        </is>
      </c>
      <c r="C143" s="200" t="n"/>
      <c r="D143" s="200" t="n"/>
      <c r="E143" s="200" t="n"/>
      <c r="F143" s="201" t="n"/>
      <c r="G143" s="4" t="n"/>
      <c r="H143" s="4" t="n"/>
      <c r="I143" s="78">
        <f>AK143</f>
        <v/>
      </c>
      <c r="J143" s="6" t="n"/>
      <c r="K143" s="6" t="n"/>
      <c r="L143" s="7" t="n"/>
      <c r="M143" s="8" t="n"/>
      <c r="N143" s="8" t="n"/>
      <c r="O143" s="8" t="n"/>
      <c r="P143" s="23" t="n"/>
      <c r="Q143" s="23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9" t="n"/>
      <c r="AA143" s="8" t="n"/>
      <c r="AB143" s="8" t="n"/>
      <c r="AC143" s="8" t="n"/>
      <c r="AD143" s="8" t="n"/>
      <c r="AE143" s="8" t="n"/>
      <c r="AF143" s="8" t="n"/>
      <c r="AG143" s="9" t="n"/>
      <c r="AH143" s="8" t="n"/>
      <c r="AI143" s="8" t="n"/>
      <c r="AJ143" s="9" t="n"/>
      <c r="AK143" s="56">
        <f>COUNTA(L143:AJ143)</f>
        <v/>
      </c>
      <c r="AL143" s="95" t="n"/>
      <c r="AM143" s="10" t="n"/>
      <c r="AN143" s="10" t="n"/>
      <c r="AO143" s="21" t="n"/>
      <c r="AP143" s="21" t="n"/>
      <c r="AQ143" s="21" t="n"/>
      <c r="AR143" s="21" t="n"/>
      <c r="AS143" s="13" t="n"/>
      <c r="AT143" s="13" t="n"/>
      <c r="AU143" s="13" t="n"/>
    </row>
    <row r="144" ht="110.1" customHeight="1" s="110" thickBot="1">
      <c r="A144" s="79" t="n">
        <v>109</v>
      </c>
      <c r="B144" s="213" t="inlineStr">
        <is>
          <t xml:space="preserve">Where?
What?　
How?　
Other info? </t>
        </is>
      </c>
      <c r="C144" s="200" t="n"/>
      <c r="D144" s="200" t="n"/>
      <c r="E144" s="200" t="n"/>
      <c r="F144" s="201" t="n"/>
      <c r="G144" s="4" t="n"/>
      <c r="H144" s="4" t="n"/>
      <c r="I144" s="78">
        <f>AK144</f>
        <v/>
      </c>
      <c r="J144" s="6" t="n"/>
      <c r="K144" s="6" t="n"/>
      <c r="L144" s="7" t="n"/>
      <c r="M144" s="8" t="n"/>
      <c r="N144" s="8" t="n"/>
      <c r="O144" s="8" t="n"/>
      <c r="P144" s="23" t="n"/>
      <c r="Q144" s="23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9" t="n"/>
      <c r="AA144" s="8" t="n"/>
      <c r="AB144" s="8" t="n"/>
      <c r="AC144" s="8" t="n"/>
      <c r="AD144" s="8" t="n"/>
      <c r="AE144" s="8" t="n"/>
      <c r="AF144" s="8" t="n"/>
      <c r="AG144" s="9" t="n"/>
      <c r="AH144" s="8" t="n"/>
      <c r="AI144" s="8" t="n"/>
      <c r="AJ144" s="9" t="n"/>
      <c r="AK144" s="56">
        <f>COUNTA(L144:AJ144)</f>
        <v/>
      </c>
      <c r="AL144" s="95" t="n"/>
      <c r="AM144" s="10" t="n"/>
      <c r="AN144" s="10" t="n"/>
      <c r="AO144" s="21" t="n"/>
      <c r="AP144" s="21" t="n"/>
      <c r="AQ144" s="21" t="n"/>
      <c r="AR144" s="21" t="n"/>
      <c r="AS144" s="13" t="n"/>
      <c r="AT144" s="13" t="n"/>
      <c r="AU144" s="13" t="n"/>
    </row>
    <row r="145" ht="110.1" customHeight="1" s="110" thickBot="1">
      <c r="A145" s="79" t="n">
        <v>110</v>
      </c>
      <c r="B145" s="213" t="inlineStr">
        <is>
          <t xml:space="preserve">Where?
What?　
How?　
Other info? </t>
        </is>
      </c>
      <c r="C145" s="200" t="n"/>
      <c r="D145" s="200" t="n"/>
      <c r="E145" s="200" t="n"/>
      <c r="F145" s="201" t="n"/>
      <c r="G145" s="4" t="n"/>
      <c r="H145" s="4" t="n"/>
      <c r="I145" s="78">
        <f>AK145</f>
        <v/>
      </c>
      <c r="J145" s="6" t="n"/>
      <c r="K145" s="6" t="n"/>
      <c r="L145" s="7" t="n"/>
      <c r="M145" s="8" t="n"/>
      <c r="N145" s="8" t="n"/>
      <c r="O145" s="8" t="n"/>
      <c r="P145" s="23" t="n"/>
      <c r="Q145" s="23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9" t="n"/>
      <c r="AA145" s="8" t="n"/>
      <c r="AB145" s="8" t="n"/>
      <c r="AC145" s="8" t="n"/>
      <c r="AD145" s="8" t="n"/>
      <c r="AE145" s="8" t="n"/>
      <c r="AF145" s="8" t="n"/>
      <c r="AG145" s="9" t="n"/>
      <c r="AH145" s="8" t="n"/>
      <c r="AI145" s="8" t="n"/>
      <c r="AJ145" s="9" t="n"/>
      <c r="AK145" s="56">
        <f>COUNTA(L145:AJ145)</f>
        <v/>
      </c>
      <c r="AL145" s="95" t="n"/>
      <c r="AM145" s="10" t="n"/>
      <c r="AN145" s="10" t="n"/>
      <c r="AO145" s="21" t="n"/>
      <c r="AP145" s="21" t="n"/>
      <c r="AQ145" s="21" t="n"/>
      <c r="AR145" s="21" t="n"/>
      <c r="AS145" s="13" t="n"/>
      <c r="AT145" s="13" t="n"/>
      <c r="AU145" s="13" t="n"/>
    </row>
    <row r="146" ht="110.1" customFormat="1" customHeight="1" s="14" thickBot="1">
      <c r="A146" s="79" t="n">
        <v>111</v>
      </c>
      <c r="B146" s="213" t="inlineStr">
        <is>
          <t>Where?
What?　
How?　
Other info?</t>
        </is>
      </c>
      <c r="C146" s="200" t="n"/>
      <c r="D146" s="200" t="n"/>
      <c r="E146" s="200" t="n"/>
      <c r="F146" s="201" t="n"/>
      <c r="G146" s="4" t="n"/>
      <c r="H146" s="4" t="n"/>
      <c r="I146" s="78">
        <f>AK146</f>
        <v/>
      </c>
      <c r="J146" s="5" t="n"/>
      <c r="K146" s="6" t="n"/>
      <c r="L146" s="7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9" t="n"/>
      <c r="AA146" s="8" t="n"/>
      <c r="AB146" s="8" t="n"/>
      <c r="AC146" s="8" t="n"/>
      <c r="AD146" s="8" t="n"/>
      <c r="AE146" s="8" t="n"/>
      <c r="AF146" s="8" t="n"/>
      <c r="AG146" s="9" t="n"/>
      <c r="AH146" s="8" t="n"/>
      <c r="AI146" s="8" t="n"/>
      <c r="AJ146" s="9" t="n"/>
      <c r="AK146" s="56">
        <f>COUNTA(L146:AJ146)</f>
        <v/>
      </c>
      <c r="AL146" s="95" t="n"/>
      <c r="AM146" s="10" t="n"/>
      <c r="AN146" s="10" t="n"/>
      <c r="AO146" s="11" t="n"/>
      <c r="AP146" s="11" t="n"/>
      <c r="AQ146" s="12" t="n"/>
      <c r="AR146" s="13" t="n"/>
      <c r="AS146" s="13" t="n"/>
      <c r="AT146" s="13" t="n"/>
      <c r="AU146" s="13" t="n"/>
    </row>
    <row r="147" ht="110.1" customFormat="1" customHeight="1" s="14" thickBot="1">
      <c r="A147" s="79" t="n">
        <v>112</v>
      </c>
      <c r="B147" s="213" t="inlineStr">
        <is>
          <t xml:space="preserve">Where?
What?　
How?　
Other info? </t>
        </is>
      </c>
      <c r="C147" s="200" t="n"/>
      <c r="D147" s="200" t="n"/>
      <c r="E147" s="200" t="n"/>
      <c r="F147" s="201" t="n"/>
      <c r="G147" s="4" t="n"/>
      <c r="H147" s="4" t="n"/>
      <c r="I147" s="78">
        <f>AK147</f>
        <v/>
      </c>
      <c r="J147" s="15" t="n"/>
      <c r="K147" s="6" t="n"/>
      <c r="L147" s="7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9" t="n"/>
      <c r="AA147" s="8" t="n"/>
      <c r="AB147" s="8" t="n"/>
      <c r="AC147" s="8" t="n"/>
      <c r="AD147" s="8" t="n"/>
      <c r="AE147" s="8" t="n"/>
      <c r="AF147" s="8" t="n"/>
      <c r="AG147" s="9" t="n"/>
      <c r="AH147" s="8" t="n"/>
      <c r="AI147" s="8" t="n"/>
      <c r="AJ147" s="9" t="n"/>
      <c r="AK147" s="56">
        <f>COUNTA(L147:AJ147)</f>
        <v/>
      </c>
      <c r="AL147" s="95" t="n"/>
      <c r="AM147" s="10" t="n"/>
      <c r="AN147" s="10" t="n"/>
      <c r="AO147" s="11" t="n"/>
      <c r="AP147" s="11" t="n"/>
      <c r="AQ147" s="16" t="n"/>
      <c r="AR147" s="13" t="n"/>
      <c r="AS147" s="13" t="n"/>
      <c r="AT147" s="13" t="n"/>
      <c r="AU147" s="13" t="n"/>
    </row>
    <row r="148" ht="110.1" customFormat="1" customHeight="1" s="14" thickBot="1">
      <c r="A148" s="79" t="n">
        <v>113</v>
      </c>
      <c r="B148" s="213" t="inlineStr">
        <is>
          <t xml:space="preserve">Where?
What?　
How?　
Other info? </t>
        </is>
      </c>
      <c r="C148" s="200" t="n"/>
      <c r="D148" s="200" t="n"/>
      <c r="E148" s="200" t="n"/>
      <c r="F148" s="201" t="n"/>
      <c r="G148" s="4" t="n"/>
      <c r="H148" s="4" t="n"/>
      <c r="I148" s="78">
        <f>AK148</f>
        <v/>
      </c>
      <c r="J148" s="15" t="n"/>
      <c r="K148" s="6" t="n"/>
      <c r="L148" s="7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9" t="n"/>
      <c r="AA148" s="8" t="n"/>
      <c r="AB148" s="8" t="n"/>
      <c r="AC148" s="8" t="n"/>
      <c r="AD148" s="8" t="n"/>
      <c r="AE148" s="8" t="n"/>
      <c r="AF148" s="8" t="n"/>
      <c r="AG148" s="9" t="n"/>
      <c r="AH148" s="8" t="n"/>
      <c r="AI148" s="8" t="n"/>
      <c r="AJ148" s="9" t="n"/>
      <c r="AK148" s="56">
        <f>COUNTA(L148:AJ148)</f>
        <v/>
      </c>
      <c r="AL148" s="95" t="n"/>
      <c r="AM148" s="10" t="n"/>
      <c r="AN148" s="10" t="n"/>
      <c r="AO148" s="11" t="n"/>
      <c r="AP148" s="11" t="n"/>
      <c r="AQ148" s="16" t="n"/>
      <c r="AR148" s="13" t="n"/>
      <c r="AS148" s="13" t="n"/>
      <c r="AT148" s="13" t="n"/>
      <c r="AU148" s="13" t="n"/>
    </row>
    <row r="149" ht="110.1" customFormat="1" customHeight="1" s="14" thickBot="1">
      <c r="A149" s="79" t="n">
        <v>114</v>
      </c>
      <c r="B149" s="213" t="inlineStr">
        <is>
          <t xml:space="preserve">Where?
What?　
How?　
Other info? </t>
        </is>
      </c>
      <c r="C149" s="200" t="n"/>
      <c r="D149" s="200" t="n"/>
      <c r="E149" s="200" t="n"/>
      <c r="F149" s="201" t="n"/>
      <c r="G149" s="4" t="n"/>
      <c r="H149" s="4" t="n"/>
      <c r="I149" s="78">
        <f>AK149</f>
        <v/>
      </c>
      <c r="J149" s="15" t="n"/>
      <c r="K149" s="6" t="n"/>
      <c r="L149" s="7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9" t="n"/>
      <c r="AA149" s="8" t="n"/>
      <c r="AB149" s="8" t="n"/>
      <c r="AC149" s="8" t="n"/>
      <c r="AD149" s="8" t="n"/>
      <c r="AE149" s="8" t="n"/>
      <c r="AF149" s="8" t="n"/>
      <c r="AG149" s="9" t="n"/>
      <c r="AH149" s="8" t="n"/>
      <c r="AI149" s="8" t="n"/>
      <c r="AJ149" s="9" t="n"/>
      <c r="AK149" s="56">
        <f>COUNTA(L149:AJ149)</f>
        <v/>
      </c>
      <c r="AL149" s="95" t="n"/>
      <c r="AM149" s="10" t="n"/>
      <c r="AN149" s="10" t="n"/>
      <c r="AO149" s="11" t="n"/>
      <c r="AP149" s="11" t="n"/>
      <c r="AQ149" s="16" t="n"/>
      <c r="AR149" s="13" t="n"/>
      <c r="AS149" s="13" t="n"/>
      <c r="AT149" s="13" t="n"/>
      <c r="AU149" s="13" t="n"/>
    </row>
    <row r="150" ht="110.1" customFormat="1" customHeight="1" s="14" thickBot="1">
      <c r="A150" s="79" t="n">
        <v>115</v>
      </c>
      <c r="B150" s="213" t="inlineStr">
        <is>
          <t xml:space="preserve">Where?
What?　
How?　
Other info? </t>
        </is>
      </c>
      <c r="C150" s="200" t="n"/>
      <c r="D150" s="200" t="n"/>
      <c r="E150" s="200" t="n"/>
      <c r="F150" s="201" t="n"/>
      <c r="G150" s="4" t="n"/>
      <c r="H150" s="4" t="n"/>
      <c r="I150" s="78">
        <f>AK150</f>
        <v/>
      </c>
      <c r="J150" s="15" t="n"/>
      <c r="K150" s="6" t="n"/>
      <c r="L150" s="7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9" t="n"/>
      <c r="AA150" s="8" t="n"/>
      <c r="AB150" s="8" t="n"/>
      <c r="AC150" s="8" t="n"/>
      <c r="AD150" s="8" t="n"/>
      <c r="AE150" s="8" t="n"/>
      <c r="AF150" s="8" t="n"/>
      <c r="AG150" s="9" t="n"/>
      <c r="AH150" s="8" t="n"/>
      <c r="AI150" s="8" t="n"/>
      <c r="AJ150" s="9" t="n"/>
      <c r="AK150" s="56">
        <f>COUNTA(L150:AJ150)</f>
        <v/>
      </c>
      <c r="AL150" s="95" t="n"/>
      <c r="AM150" s="10" t="n"/>
      <c r="AN150" s="10" t="n"/>
      <c r="AO150" s="11" t="n"/>
      <c r="AP150" s="11" t="n"/>
      <c r="AQ150" s="16" t="n"/>
      <c r="AR150" s="13" t="n"/>
      <c r="AS150" s="13" t="n"/>
      <c r="AT150" s="13" t="n"/>
      <c r="AU150" s="13" t="n"/>
    </row>
    <row r="151" ht="110.1" customFormat="1" customHeight="1" s="14" thickBot="1">
      <c r="A151" s="79" t="n">
        <v>116</v>
      </c>
      <c r="B151" s="213" t="inlineStr">
        <is>
          <t xml:space="preserve">Where?
What?　
How?　
Other info? </t>
        </is>
      </c>
      <c r="C151" s="200" t="n"/>
      <c r="D151" s="200" t="n"/>
      <c r="E151" s="200" t="n"/>
      <c r="F151" s="201" t="n"/>
      <c r="G151" s="4" t="n"/>
      <c r="H151" s="4" t="n"/>
      <c r="I151" s="78">
        <f>AK151</f>
        <v/>
      </c>
      <c r="J151" s="15" t="n"/>
      <c r="K151" s="6" t="n"/>
      <c r="L151" s="7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9" t="n"/>
      <c r="AA151" s="8" t="n"/>
      <c r="AB151" s="8" t="n"/>
      <c r="AC151" s="8" t="n"/>
      <c r="AD151" s="8" t="n"/>
      <c r="AE151" s="8" t="n"/>
      <c r="AF151" s="8" t="n"/>
      <c r="AG151" s="9" t="n"/>
      <c r="AH151" s="8" t="n"/>
      <c r="AI151" s="8" t="n"/>
      <c r="AJ151" s="9" t="n"/>
      <c r="AK151" s="56">
        <f>COUNTA(L151:AJ151)</f>
        <v/>
      </c>
      <c r="AL151" s="95" t="n"/>
      <c r="AM151" s="10" t="n"/>
      <c r="AN151" s="10" t="n"/>
      <c r="AO151" s="11" t="n"/>
      <c r="AP151" s="11" t="n"/>
      <c r="AQ151" s="16" t="n"/>
      <c r="AR151" s="13" t="n"/>
      <c r="AS151" s="13" t="n"/>
      <c r="AT151" s="13" t="n"/>
      <c r="AU151" s="13" t="n"/>
    </row>
    <row r="152" ht="110.1" customFormat="1" customHeight="1" s="14" thickBot="1">
      <c r="A152" s="79" t="n">
        <v>117</v>
      </c>
      <c r="B152" s="213" t="inlineStr">
        <is>
          <t xml:space="preserve">Where?
What?　
How?　
Other info? </t>
        </is>
      </c>
      <c r="C152" s="200" t="n"/>
      <c r="D152" s="200" t="n"/>
      <c r="E152" s="200" t="n"/>
      <c r="F152" s="201" t="n"/>
      <c r="G152" s="4" t="n"/>
      <c r="H152" s="4" t="n"/>
      <c r="I152" s="78">
        <f>AK152</f>
        <v/>
      </c>
      <c r="J152" s="15" t="n"/>
      <c r="K152" s="6" t="n"/>
      <c r="L152" s="7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9" t="n"/>
      <c r="AA152" s="8" t="n"/>
      <c r="AB152" s="8" t="n"/>
      <c r="AC152" s="8" t="n"/>
      <c r="AD152" s="8" t="n"/>
      <c r="AE152" s="8" t="n"/>
      <c r="AF152" s="8" t="n"/>
      <c r="AG152" s="9" t="n"/>
      <c r="AH152" s="8" t="n"/>
      <c r="AI152" s="8" t="n"/>
      <c r="AJ152" s="9" t="n"/>
      <c r="AK152" s="56">
        <f>COUNTA(L152:AJ152)</f>
        <v/>
      </c>
      <c r="AL152" s="95" t="n"/>
      <c r="AM152" s="10" t="n"/>
      <c r="AN152" s="10" t="n"/>
      <c r="AO152" s="11" t="n"/>
      <c r="AP152" s="11" t="n"/>
      <c r="AQ152" s="16" t="n"/>
      <c r="AR152" s="13" t="n"/>
      <c r="AS152" s="13" t="n"/>
      <c r="AT152" s="13" t="n"/>
      <c r="AU152" s="13" t="n"/>
    </row>
    <row r="153" ht="110.1" customFormat="1" customHeight="1" s="14" thickBot="1">
      <c r="A153" s="79" t="n">
        <v>118</v>
      </c>
      <c r="B153" s="213" t="inlineStr">
        <is>
          <t xml:space="preserve">Where?
What?　
How?　
Other info? </t>
        </is>
      </c>
      <c r="C153" s="200" t="n"/>
      <c r="D153" s="200" t="n"/>
      <c r="E153" s="200" t="n"/>
      <c r="F153" s="201" t="n"/>
      <c r="G153" s="4" t="n"/>
      <c r="H153" s="4" t="n"/>
      <c r="I153" s="78">
        <f>AK153</f>
        <v/>
      </c>
      <c r="J153" s="15" t="n"/>
      <c r="K153" s="6" t="n"/>
      <c r="L153" s="7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9" t="n"/>
      <c r="AA153" s="8" t="n"/>
      <c r="AB153" s="8" t="n"/>
      <c r="AC153" s="8" t="n"/>
      <c r="AD153" s="8" t="n"/>
      <c r="AE153" s="8" t="n"/>
      <c r="AF153" s="8" t="n"/>
      <c r="AG153" s="9" t="n"/>
      <c r="AH153" s="8" t="n"/>
      <c r="AI153" s="8" t="n"/>
      <c r="AJ153" s="9" t="n"/>
      <c r="AK153" s="56">
        <f>COUNTA(L153:AJ153)</f>
        <v/>
      </c>
      <c r="AL153" s="95" t="n"/>
      <c r="AM153" s="10" t="n"/>
      <c r="AN153" s="10" t="n"/>
      <c r="AO153" s="11" t="n"/>
      <c r="AP153" s="11" t="n"/>
      <c r="AQ153" s="16" t="n"/>
      <c r="AR153" s="13" t="n"/>
      <c r="AS153" s="13" t="n"/>
      <c r="AT153" s="13" t="n"/>
      <c r="AU153" s="13" t="n"/>
    </row>
    <row r="154" ht="110.1" customFormat="1" customHeight="1" s="14" thickBot="1">
      <c r="A154" s="79" t="n">
        <v>119</v>
      </c>
      <c r="B154" s="213" t="inlineStr">
        <is>
          <t xml:space="preserve">Where?
What?　
How?　
Other info? </t>
        </is>
      </c>
      <c r="C154" s="200" t="n"/>
      <c r="D154" s="200" t="n"/>
      <c r="E154" s="200" t="n"/>
      <c r="F154" s="201" t="n"/>
      <c r="G154" s="17" t="n"/>
      <c r="H154" s="4" t="n"/>
      <c r="I154" s="78">
        <f>AK154</f>
        <v/>
      </c>
      <c r="J154" s="15" t="n"/>
      <c r="K154" s="6" t="n"/>
      <c r="L154" s="7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9" t="n"/>
      <c r="AA154" s="8" t="n"/>
      <c r="AB154" s="8" t="n"/>
      <c r="AC154" s="8" t="n"/>
      <c r="AD154" s="8" t="n"/>
      <c r="AE154" s="8" t="n"/>
      <c r="AF154" s="8" t="n"/>
      <c r="AG154" s="9" t="n"/>
      <c r="AH154" s="8" t="n"/>
      <c r="AI154" s="8" t="n"/>
      <c r="AJ154" s="9" t="n"/>
      <c r="AK154" s="56">
        <f>COUNTA(L154:AJ154)</f>
        <v/>
      </c>
      <c r="AL154" s="95" t="n"/>
      <c r="AM154" s="10" t="n"/>
      <c r="AN154" s="10" t="n"/>
      <c r="AO154" s="11" t="n"/>
      <c r="AP154" s="11" t="n"/>
      <c r="AQ154" s="16" t="n"/>
      <c r="AR154" s="13" t="n"/>
      <c r="AS154" s="13" t="n"/>
      <c r="AT154" s="13" t="n"/>
      <c r="AU154" s="13" t="n"/>
    </row>
    <row r="155" ht="110.1" customFormat="1" customHeight="1" s="14" thickBot="1">
      <c r="A155" s="79" t="n">
        <v>120</v>
      </c>
      <c r="B155" s="213" t="inlineStr">
        <is>
          <t xml:space="preserve">Where?
What?　
How?　
Other info? </t>
        </is>
      </c>
      <c r="C155" s="200" t="n"/>
      <c r="D155" s="200" t="n"/>
      <c r="E155" s="200" t="n"/>
      <c r="F155" s="201" t="n"/>
      <c r="G155" s="4" t="n"/>
      <c r="H155" s="4" t="n"/>
      <c r="I155" s="78">
        <f>AK155</f>
        <v/>
      </c>
      <c r="J155" s="15" t="n"/>
      <c r="K155" s="6" t="n"/>
      <c r="L155" s="7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9" t="n"/>
      <c r="AA155" s="8" t="n"/>
      <c r="AB155" s="8" t="n"/>
      <c r="AC155" s="8" t="n"/>
      <c r="AD155" s="8" t="n"/>
      <c r="AE155" s="8" t="n"/>
      <c r="AF155" s="8" t="n"/>
      <c r="AG155" s="9" t="n"/>
      <c r="AH155" s="8" t="n"/>
      <c r="AI155" s="8" t="n"/>
      <c r="AJ155" s="9" t="n"/>
      <c r="AK155" s="56">
        <f>COUNTA(L155:AJ155)</f>
        <v/>
      </c>
      <c r="AL155" s="95" t="n"/>
      <c r="AM155" s="10" t="n"/>
      <c r="AN155" s="10" t="n"/>
      <c r="AO155" s="11" t="n"/>
      <c r="AP155" s="11" t="n"/>
      <c r="AQ155" s="16" t="n"/>
      <c r="AR155" s="13" t="n"/>
      <c r="AS155" s="13" t="n"/>
      <c r="AT155" s="13" t="n"/>
      <c r="AU155" s="13" t="n"/>
    </row>
    <row r="156" ht="110.1" customFormat="1" customHeight="1" s="14" thickBot="1">
      <c r="A156" s="79" t="n">
        <v>121</v>
      </c>
      <c r="B156" s="213" t="inlineStr">
        <is>
          <t xml:space="preserve">Where?
What?　
How?　
Other info? </t>
        </is>
      </c>
      <c r="C156" s="200" t="n"/>
      <c r="D156" s="200" t="n"/>
      <c r="E156" s="200" t="n"/>
      <c r="F156" s="201" t="n"/>
      <c r="G156" s="4" t="n"/>
      <c r="H156" s="4" t="n"/>
      <c r="I156" s="78">
        <f>AK156</f>
        <v/>
      </c>
      <c r="J156" s="15" t="n"/>
      <c r="K156" s="6" t="n"/>
      <c r="L156" s="7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9" t="n"/>
      <c r="AA156" s="8" t="n"/>
      <c r="AB156" s="8" t="n"/>
      <c r="AC156" s="8" t="n"/>
      <c r="AD156" s="8" t="n"/>
      <c r="AE156" s="8" t="n"/>
      <c r="AF156" s="8" t="n"/>
      <c r="AG156" s="9" t="n"/>
      <c r="AH156" s="8" t="n"/>
      <c r="AI156" s="8" t="n"/>
      <c r="AJ156" s="9" t="n"/>
      <c r="AK156" s="56">
        <f>COUNTA(L156:AJ156)</f>
        <v/>
      </c>
      <c r="AL156" s="95" t="n"/>
      <c r="AM156" s="10" t="n"/>
      <c r="AN156" s="10" t="n"/>
      <c r="AO156" s="11" t="n"/>
      <c r="AP156" s="11" t="n"/>
      <c r="AQ156" s="16" t="n"/>
      <c r="AR156" s="13" t="n"/>
      <c r="AS156" s="13" t="n"/>
      <c r="AT156" s="13" t="n"/>
      <c r="AU156" s="13" t="n"/>
    </row>
    <row r="157" ht="110.1" customFormat="1" customHeight="1" s="14" thickBot="1">
      <c r="A157" s="79" t="n">
        <v>122</v>
      </c>
      <c r="B157" s="213" t="inlineStr">
        <is>
          <t xml:space="preserve">Where?
What?　
How?　
Other info? </t>
        </is>
      </c>
      <c r="C157" s="200" t="n"/>
      <c r="D157" s="200" t="n"/>
      <c r="E157" s="200" t="n"/>
      <c r="F157" s="201" t="n"/>
      <c r="G157" s="4" t="n"/>
      <c r="H157" s="4" t="n"/>
      <c r="I157" s="78">
        <f>AK157</f>
        <v/>
      </c>
      <c r="J157" s="15" t="n"/>
      <c r="K157" s="6" t="n"/>
      <c r="L157" s="7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9" t="n"/>
      <c r="AA157" s="8" t="n"/>
      <c r="AB157" s="8" t="n"/>
      <c r="AC157" s="8" t="n"/>
      <c r="AD157" s="8" t="n"/>
      <c r="AE157" s="8" t="n"/>
      <c r="AF157" s="8" t="n"/>
      <c r="AG157" s="9" t="n"/>
      <c r="AH157" s="8" t="n"/>
      <c r="AI157" s="8" t="n"/>
      <c r="AJ157" s="9" t="n"/>
      <c r="AK157" s="56">
        <f>COUNTA(L157:AJ157)</f>
        <v/>
      </c>
      <c r="AL157" s="95" t="n"/>
      <c r="AM157" s="10" t="n"/>
      <c r="AN157" s="10" t="n"/>
      <c r="AO157" s="11" t="n"/>
      <c r="AP157" s="11" t="n"/>
      <c r="AQ157" s="16" t="n"/>
      <c r="AR157" s="13" t="n"/>
      <c r="AS157" s="13" t="n"/>
      <c r="AT157" s="13" t="n"/>
      <c r="AU157" s="13" t="n"/>
    </row>
    <row r="158" ht="110.1" customFormat="1" customHeight="1" s="14" thickBot="1">
      <c r="A158" s="79" t="n">
        <v>123</v>
      </c>
      <c r="B158" s="213" t="inlineStr">
        <is>
          <t xml:space="preserve">Where?
What?　
How?　
Other info? </t>
        </is>
      </c>
      <c r="C158" s="200" t="n"/>
      <c r="D158" s="200" t="n"/>
      <c r="E158" s="200" t="n"/>
      <c r="F158" s="201" t="n"/>
      <c r="G158" s="4" t="n"/>
      <c r="H158" s="4" t="n"/>
      <c r="I158" s="78">
        <f>AK158</f>
        <v/>
      </c>
      <c r="J158" s="15" t="n"/>
      <c r="K158" s="6" t="n"/>
      <c r="L158" s="7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9" t="n"/>
      <c r="AA158" s="8" t="n"/>
      <c r="AB158" s="8" t="n"/>
      <c r="AC158" s="8" t="n"/>
      <c r="AD158" s="8" t="n"/>
      <c r="AE158" s="8" t="n"/>
      <c r="AF158" s="8" t="n"/>
      <c r="AG158" s="9" t="n"/>
      <c r="AH158" s="8" t="n"/>
      <c r="AI158" s="8" t="n"/>
      <c r="AJ158" s="9" t="n"/>
      <c r="AK158" s="56">
        <f>COUNTA(L158:AJ158)</f>
        <v/>
      </c>
      <c r="AL158" s="95" t="n"/>
      <c r="AM158" s="10" t="n"/>
      <c r="AN158" s="10" t="n"/>
      <c r="AO158" s="11" t="n"/>
      <c r="AP158" s="11" t="n"/>
      <c r="AQ158" s="16" t="n"/>
      <c r="AR158" s="13" t="n"/>
      <c r="AS158" s="13" t="n"/>
      <c r="AT158" s="13" t="n"/>
      <c r="AU158" s="13" t="n"/>
    </row>
    <row r="159" ht="110.1" customFormat="1" customHeight="1" s="14" thickBot="1">
      <c r="A159" s="79" t="n">
        <v>124</v>
      </c>
      <c r="B159" s="213" t="inlineStr">
        <is>
          <t xml:space="preserve">Where?
What?　
How?　
Other info? </t>
        </is>
      </c>
      <c r="C159" s="200" t="n"/>
      <c r="D159" s="200" t="n"/>
      <c r="E159" s="200" t="n"/>
      <c r="F159" s="201" t="n"/>
      <c r="G159" s="4" t="n"/>
      <c r="H159" s="4" t="n"/>
      <c r="I159" s="78">
        <f>AK159</f>
        <v/>
      </c>
      <c r="J159" s="15" t="n"/>
      <c r="K159" s="6" t="n"/>
      <c r="L159" s="7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9" t="n"/>
      <c r="AA159" s="8" t="n"/>
      <c r="AB159" s="8" t="n"/>
      <c r="AC159" s="8" t="n"/>
      <c r="AD159" s="8" t="n"/>
      <c r="AE159" s="8" t="n"/>
      <c r="AF159" s="8" t="n"/>
      <c r="AG159" s="9" t="n"/>
      <c r="AH159" s="8" t="n"/>
      <c r="AI159" s="8" t="n"/>
      <c r="AJ159" s="9" t="n"/>
      <c r="AK159" s="56">
        <f>COUNTA(L159:AJ159)</f>
        <v/>
      </c>
      <c r="AL159" s="95" t="n"/>
      <c r="AM159" s="10" t="n"/>
      <c r="AN159" s="10" t="n"/>
      <c r="AO159" s="11" t="n"/>
      <c r="AP159" s="11" t="n"/>
      <c r="AQ159" s="16" t="n"/>
      <c r="AR159" s="13" t="n"/>
      <c r="AS159" s="13" t="n"/>
      <c r="AT159" s="13" t="n"/>
      <c r="AU159" s="13" t="n"/>
    </row>
    <row r="160" ht="110.1" customFormat="1" customHeight="1" s="14" thickBot="1">
      <c r="A160" s="79" t="n">
        <v>125</v>
      </c>
      <c r="B160" s="213" t="inlineStr">
        <is>
          <t xml:space="preserve">Where?
What?　
How?　
Other info? </t>
        </is>
      </c>
      <c r="C160" s="200" t="n"/>
      <c r="D160" s="200" t="n"/>
      <c r="E160" s="200" t="n"/>
      <c r="F160" s="201" t="n"/>
      <c r="G160" s="4" t="n"/>
      <c r="H160" s="4" t="n"/>
      <c r="I160" s="78">
        <f>AK160</f>
        <v/>
      </c>
      <c r="J160" s="15" t="n"/>
      <c r="K160" s="6" t="n"/>
      <c r="L160" s="7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9" t="n"/>
      <c r="AA160" s="8" t="n"/>
      <c r="AB160" s="8" t="n"/>
      <c r="AC160" s="8" t="n"/>
      <c r="AD160" s="8" t="n"/>
      <c r="AE160" s="8" t="n"/>
      <c r="AF160" s="8" t="n"/>
      <c r="AG160" s="9" t="n"/>
      <c r="AH160" s="8" t="n"/>
      <c r="AI160" s="8" t="n"/>
      <c r="AJ160" s="9" t="n"/>
      <c r="AK160" s="56">
        <f>COUNTA(L160:AJ160)</f>
        <v/>
      </c>
      <c r="AL160" s="95" t="n"/>
      <c r="AM160" s="10" t="n"/>
      <c r="AN160" s="10" t="n"/>
      <c r="AO160" s="11" t="n"/>
      <c r="AP160" s="11" t="n"/>
      <c r="AQ160" s="16" t="n"/>
      <c r="AR160" s="13" t="n"/>
      <c r="AS160" s="13" t="n"/>
      <c r="AT160" s="13" t="n"/>
      <c r="AU160" s="13" t="n"/>
    </row>
    <row r="161" ht="110.1" customFormat="1" customHeight="1" s="14" thickBot="1">
      <c r="A161" s="79" t="n">
        <v>126</v>
      </c>
      <c r="B161" s="213" t="inlineStr">
        <is>
          <t xml:space="preserve">Where?
What?　
How?　
Other info? </t>
        </is>
      </c>
      <c r="C161" s="200" t="n"/>
      <c r="D161" s="200" t="n"/>
      <c r="E161" s="200" t="n"/>
      <c r="F161" s="201" t="n"/>
      <c r="G161" s="4" t="n"/>
      <c r="H161" s="4" t="n"/>
      <c r="I161" s="78">
        <f>AK161</f>
        <v/>
      </c>
      <c r="J161" s="15" t="n"/>
      <c r="K161" s="6" t="n"/>
      <c r="L161" s="7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9" t="n"/>
      <c r="AA161" s="8" t="n"/>
      <c r="AB161" s="8" t="n"/>
      <c r="AC161" s="8" t="n"/>
      <c r="AD161" s="8" t="n"/>
      <c r="AE161" s="8" t="n"/>
      <c r="AF161" s="8" t="n"/>
      <c r="AG161" s="9" t="n"/>
      <c r="AH161" s="8" t="n"/>
      <c r="AI161" s="8" t="n"/>
      <c r="AJ161" s="9" t="n"/>
      <c r="AK161" s="56">
        <f>COUNTA(L161:AJ161)</f>
        <v/>
      </c>
      <c r="AL161" s="95" t="n"/>
      <c r="AM161" s="10" t="n"/>
      <c r="AN161" s="10" t="n"/>
      <c r="AO161" s="11" t="n"/>
      <c r="AP161" s="11" t="n"/>
      <c r="AQ161" s="16" t="n"/>
      <c r="AR161" s="13" t="n"/>
      <c r="AS161" s="13" t="n"/>
      <c r="AT161" s="13" t="n"/>
      <c r="AU161" s="13" t="n"/>
    </row>
    <row r="162" ht="110.1" customFormat="1" customHeight="1" s="14" thickBot="1">
      <c r="A162" s="79" t="n">
        <v>127</v>
      </c>
      <c r="B162" s="213" t="inlineStr">
        <is>
          <t xml:space="preserve">Where?
What?　
How?　
Other info? </t>
        </is>
      </c>
      <c r="C162" s="200" t="n"/>
      <c r="D162" s="200" t="n"/>
      <c r="E162" s="200" t="n"/>
      <c r="F162" s="201" t="n"/>
      <c r="G162" s="4" t="n"/>
      <c r="H162" s="4" t="n"/>
      <c r="I162" s="78">
        <f>AK162</f>
        <v/>
      </c>
      <c r="J162" s="15" t="n"/>
      <c r="K162" s="6" t="n"/>
      <c r="L162" s="7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9" t="n"/>
      <c r="AA162" s="8" t="n"/>
      <c r="AB162" s="8" t="n"/>
      <c r="AC162" s="8" t="n"/>
      <c r="AD162" s="8" t="n"/>
      <c r="AE162" s="8" t="n"/>
      <c r="AF162" s="8" t="n"/>
      <c r="AG162" s="9" t="n"/>
      <c r="AH162" s="8" t="n"/>
      <c r="AI162" s="8" t="n"/>
      <c r="AJ162" s="9" t="n"/>
      <c r="AK162" s="56">
        <f>COUNTA(L162:AJ162)</f>
        <v/>
      </c>
      <c r="AL162" s="95" t="n"/>
      <c r="AM162" s="10" t="n"/>
      <c r="AN162" s="10" t="n"/>
      <c r="AO162" s="11" t="n"/>
      <c r="AP162" s="11" t="n"/>
      <c r="AQ162" s="16" t="n"/>
      <c r="AR162" s="13" t="n"/>
      <c r="AS162" s="13" t="n"/>
      <c r="AT162" s="13" t="n"/>
      <c r="AU162" s="13" t="n"/>
    </row>
    <row r="163" ht="110.1" customFormat="1" customHeight="1" s="14" thickBot="1">
      <c r="A163" s="79" t="n">
        <v>128</v>
      </c>
      <c r="B163" s="213" t="inlineStr">
        <is>
          <t xml:space="preserve">Where?
What?　
How?　
Other info? </t>
        </is>
      </c>
      <c r="C163" s="200" t="n"/>
      <c r="D163" s="200" t="n"/>
      <c r="E163" s="200" t="n"/>
      <c r="F163" s="201" t="n"/>
      <c r="G163" s="4" t="n"/>
      <c r="H163" s="4" t="n"/>
      <c r="I163" s="78">
        <f>AK163</f>
        <v/>
      </c>
      <c r="J163" s="15" t="n"/>
      <c r="K163" s="6" t="n"/>
      <c r="L163" s="7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9" t="n"/>
      <c r="AA163" s="8" t="n"/>
      <c r="AB163" s="8" t="n"/>
      <c r="AC163" s="8" t="n"/>
      <c r="AD163" s="8" t="n"/>
      <c r="AE163" s="8" t="n"/>
      <c r="AF163" s="8" t="n"/>
      <c r="AG163" s="9" t="n"/>
      <c r="AH163" s="8" t="n"/>
      <c r="AI163" s="8" t="n"/>
      <c r="AJ163" s="9" t="n"/>
      <c r="AK163" s="56">
        <f>COUNTA(L163:AJ163)</f>
        <v/>
      </c>
      <c r="AL163" s="95" t="n"/>
      <c r="AM163" s="10" t="n"/>
      <c r="AN163" s="10" t="n"/>
      <c r="AO163" s="11" t="n"/>
      <c r="AP163" s="11" t="n"/>
      <c r="AQ163" s="16" t="n"/>
      <c r="AR163" s="13" t="n"/>
      <c r="AS163" s="13" t="n"/>
      <c r="AT163" s="13" t="n"/>
      <c r="AU163" s="13" t="n"/>
    </row>
    <row r="164" ht="110.1" customFormat="1" customHeight="1" s="14" thickBot="1">
      <c r="A164" s="79" t="n">
        <v>129</v>
      </c>
      <c r="B164" s="213" t="inlineStr">
        <is>
          <t xml:space="preserve">Where?
What?　
How?　
Other info? </t>
        </is>
      </c>
      <c r="C164" s="200" t="n"/>
      <c r="D164" s="200" t="n"/>
      <c r="E164" s="200" t="n"/>
      <c r="F164" s="201" t="n"/>
      <c r="G164" s="17" t="n"/>
      <c r="H164" s="4" t="n"/>
      <c r="I164" s="78">
        <f>AK164</f>
        <v/>
      </c>
      <c r="J164" s="15" t="n"/>
      <c r="K164" s="6" t="n"/>
      <c r="L164" s="7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9" t="n"/>
      <c r="AA164" s="8" t="n"/>
      <c r="AB164" s="8" t="n"/>
      <c r="AC164" s="8" t="n"/>
      <c r="AD164" s="8" t="n"/>
      <c r="AE164" s="8" t="n"/>
      <c r="AF164" s="8" t="n"/>
      <c r="AG164" s="9" t="n"/>
      <c r="AH164" s="8" t="n"/>
      <c r="AI164" s="8" t="n"/>
      <c r="AJ164" s="9" t="n"/>
      <c r="AK164" s="56">
        <f>COUNTA(L164:AJ164)</f>
        <v/>
      </c>
      <c r="AL164" s="95" t="n"/>
      <c r="AM164" s="10" t="n"/>
      <c r="AN164" s="10" t="n"/>
      <c r="AO164" s="11" t="n"/>
      <c r="AP164" s="11" t="n"/>
      <c r="AQ164" s="16" t="n"/>
      <c r="AR164" s="13" t="n"/>
      <c r="AS164" s="13" t="n"/>
      <c r="AT164" s="13" t="n"/>
      <c r="AU164" s="13" t="n"/>
    </row>
    <row r="165" ht="110.1" customFormat="1" customHeight="1" s="14" thickBot="1">
      <c r="A165" s="79" t="n">
        <v>130</v>
      </c>
      <c r="B165" s="213" t="inlineStr">
        <is>
          <t xml:space="preserve">Where?
What?　
How?　
Other info? </t>
        </is>
      </c>
      <c r="C165" s="200" t="n"/>
      <c r="D165" s="200" t="n"/>
      <c r="E165" s="200" t="n"/>
      <c r="F165" s="201" t="n"/>
      <c r="G165" s="4" t="n"/>
      <c r="H165" s="4" t="n"/>
      <c r="I165" s="78">
        <f>AK165</f>
        <v/>
      </c>
      <c r="J165" s="18" t="n"/>
      <c r="K165" s="6" t="n"/>
      <c r="L165" s="7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9" t="n"/>
      <c r="AA165" s="8" t="n"/>
      <c r="AB165" s="8" t="n"/>
      <c r="AC165" s="8" t="n"/>
      <c r="AD165" s="8" t="n"/>
      <c r="AE165" s="8" t="n"/>
      <c r="AF165" s="8" t="n"/>
      <c r="AG165" s="9" t="n"/>
      <c r="AH165" s="8" t="n"/>
      <c r="AI165" s="8" t="n"/>
      <c r="AJ165" s="9" t="n"/>
      <c r="AK165" s="56">
        <f>COUNTA(L165:AJ165)</f>
        <v/>
      </c>
      <c r="AL165" s="95" t="n"/>
      <c r="AM165" s="10" t="n"/>
      <c r="AN165" s="10" t="n"/>
      <c r="AO165" s="11" t="n"/>
      <c r="AP165" s="11" t="n"/>
      <c r="AQ165" s="16" t="n"/>
      <c r="AR165" s="13" t="n"/>
      <c r="AS165" s="13" t="n"/>
      <c r="AT165" s="13" t="n"/>
      <c r="AU165" s="13" t="n"/>
    </row>
    <row r="166" ht="110.1" customHeight="1" s="110" thickBot="1">
      <c r="A166" s="79" t="n">
        <v>131</v>
      </c>
      <c r="B166" s="213" t="inlineStr">
        <is>
          <t xml:space="preserve">Where?
What?　
How?　
Other info? </t>
        </is>
      </c>
      <c r="C166" s="200" t="n"/>
      <c r="D166" s="200" t="n"/>
      <c r="E166" s="200" t="n"/>
      <c r="F166" s="201" t="n"/>
      <c r="G166" s="4" t="n"/>
      <c r="H166" s="4" t="n"/>
      <c r="I166" s="78">
        <f>AK166</f>
        <v/>
      </c>
      <c r="J166" s="6" t="n"/>
      <c r="K166" s="6" t="n"/>
      <c r="L166" s="7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9" t="n"/>
      <c r="AA166" s="8" t="n"/>
      <c r="AB166" s="8" t="n"/>
      <c r="AC166" s="8" t="n"/>
      <c r="AD166" s="8" t="n"/>
      <c r="AE166" s="8" t="n"/>
      <c r="AF166" s="8" t="n"/>
      <c r="AG166" s="9" t="n"/>
      <c r="AH166" s="8" t="n"/>
      <c r="AI166" s="8" t="n"/>
      <c r="AJ166" s="9" t="n"/>
      <c r="AK166" s="56">
        <f>COUNTA(L166:AJ166)</f>
        <v/>
      </c>
      <c r="AL166" s="95" t="n"/>
      <c r="AM166" s="10" t="n"/>
      <c r="AN166" s="10" t="n"/>
      <c r="AO166" s="17" t="n"/>
      <c r="AP166" s="19" t="n"/>
      <c r="AQ166" s="20" t="n"/>
      <c r="AR166" s="21" t="n"/>
      <c r="AS166" s="13" t="n"/>
      <c r="AT166" s="13" t="n"/>
      <c r="AU166" s="13" t="n"/>
    </row>
    <row r="167" ht="110.1" customHeight="1" s="110" thickBot="1">
      <c r="A167" s="79" t="n">
        <v>132</v>
      </c>
      <c r="B167" s="213" t="inlineStr">
        <is>
          <t xml:space="preserve">Where?
What?　
How?　
Other info? </t>
        </is>
      </c>
      <c r="C167" s="200" t="n"/>
      <c r="D167" s="200" t="n"/>
      <c r="E167" s="200" t="n"/>
      <c r="F167" s="201" t="n"/>
      <c r="G167" s="4" t="n"/>
      <c r="H167" s="4" t="n"/>
      <c r="I167" s="78">
        <f>AK167</f>
        <v/>
      </c>
      <c r="J167" s="6" t="n"/>
      <c r="K167" s="6" t="n"/>
      <c r="L167" s="7" t="n"/>
      <c r="M167" s="8" t="n"/>
      <c r="N167" s="8" t="n"/>
      <c r="O167" s="8" t="n"/>
      <c r="P167" s="23" t="n"/>
      <c r="Q167" s="23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9" t="n"/>
      <c r="AA167" s="8" t="n"/>
      <c r="AB167" s="8" t="n"/>
      <c r="AC167" s="8" t="n"/>
      <c r="AD167" s="8" t="n"/>
      <c r="AE167" s="8" t="n"/>
      <c r="AF167" s="8" t="n"/>
      <c r="AG167" s="9" t="n"/>
      <c r="AH167" s="8" t="n"/>
      <c r="AI167" s="8" t="n"/>
      <c r="AJ167" s="9" t="n"/>
      <c r="AK167" s="56">
        <f>COUNTA(L167:AJ167)</f>
        <v/>
      </c>
      <c r="AL167" s="95" t="n"/>
      <c r="AM167" s="10" t="n"/>
      <c r="AN167" s="10" t="n"/>
      <c r="AO167" s="17" t="n"/>
      <c r="AP167" s="19" t="n"/>
      <c r="AQ167" s="20" t="n"/>
      <c r="AR167" s="21" t="n"/>
      <c r="AS167" s="13" t="n"/>
      <c r="AT167" s="13" t="n"/>
      <c r="AU167" s="13" t="n"/>
    </row>
    <row r="168" ht="110.1" customHeight="1" s="110" thickBot="1">
      <c r="A168" s="79" t="n">
        <v>133</v>
      </c>
      <c r="B168" s="213" t="inlineStr">
        <is>
          <t xml:space="preserve">Where?
What?　
How?　
Other info? </t>
        </is>
      </c>
      <c r="C168" s="200" t="n"/>
      <c r="D168" s="200" t="n"/>
      <c r="E168" s="200" t="n"/>
      <c r="F168" s="201" t="n"/>
      <c r="G168" s="4" t="n"/>
      <c r="H168" s="4" t="n"/>
      <c r="I168" s="78">
        <f>AK168</f>
        <v/>
      </c>
      <c r="J168" s="6" t="n"/>
      <c r="K168" s="6" t="n"/>
      <c r="L168" s="7" t="n"/>
      <c r="M168" s="8" t="n"/>
      <c r="N168" s="8" t="n"/>
      <c r="O168" s="8" t="n"/>
      <c r="P168" s="23" t="n"/>
      <c r="Q168" s="23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9" t="n"/>
      <c r="AA168" s="8" t="n"/>
      <c r="AB168" s="8" t="n"/>
      <c r="AC168" s="8" t="n"/>
      <c r="AD168" s="8" t="n"/>
      <c r="AE168" s="8" t="n"/>
      <c r="AF168" s="8" t="n"/>
      <c r="AG168" s="9" t="n"/>
      <c r="AH168" s="8" t="n"/>
      <c r="AI168" s="8" t="n"/>
      <c r="AJ168" s="9" t="n"/>
      <c r="AK168" s="56">
        <f>COUNTA(L168:AJ168)</f>
        <v/>
      </c>
      <c r="AL168" s="95" t="n"/>
      <c r="AM168" s="10" t="n"/>
      <c r="AN168" s="10" t="n"/>
      <c r="AO168" s="21" t="n"/>
      <c r="AP168" s="21" t="n"/>
      <c r="AQ168" s="21" t="n"/>
      <c r="AR168" s="21" t="n"/>
      <c r="AS168" s="13" t="n"/>
      <c r="AT168" s="13" t="n"/>
      <c r="AU168" s="13" t="n"/>
    </row>
    <row r="169" ht="110.1" customHeight="1" s="110" thickBot="1">
      <c r="A169" s="79" t="n">
        <v>134</v>
      </c>
      <c r="B169" s="213" t="inlineStr">
        <is>
          <t xml:space="preserve">Where?
What?　
How?　
Other info? </t>
        </is>
      </c>
      <c r="C169" s="200" t="n"/>
      <c r="D169" s="200" t="n"/>
      <c r="E169" s="200" t="n"/>
      <c r="F169" s="201" t="n"/>
      <c r="G169" s="4" t="n"/>
      <c r="H169" s="4" t="n"/>
      <c r="I169" s="78">
        <f>AK169</f>
        <v/>
      </c>
      <c r="J169" s="6" t="n"/>
      <c r="K169" s="6" t="n"/>
      <c r="L169" s="7" t="n"/>
      <c r="M169" s="8" t="n"/>
      <c r="N169" s="8" t="n"/>
      <c r="O169" s="8" t="n"/>
      <c r="P169" s="23" t="n"/>
      <c r="Q169" s="23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9" t="n"/>
      <c r="AA169" s="8" t="n"/>
      <c r="AB169" s="8" t="n"/>
      <c r="AC169" s="8" t="n"/>
      <c r="AD169" s="8" t="n"/>
      <c r="AE169" s="8" t="n"/>
      <c r="AF169" s="8" t="n"/>
      <c r="AG169" s="9" t="n"/>
      <c r="AH169" s="8" t="n"/>
      <c r="AI169" s="8" t="n"/>
      <c r="AJ169" s="9" t="n"/>
      <c r="AK169" s="56">
        <f>COUNTA(L169:AJ169)</f>
        <v/>
      </c>
      <c r="AL169" s="95" t="n"/>
      <c r="AM169" s="10" t="n"/>
      <c r="AN169" s="10" t="n"/>
      <c r="AO169" s="21" t="n"/>
      <c r="AP169" s="21" t="n"/>
      <c r="AQ169" s="21" t="n"/>
      <c r="AR169" s="21" t="n"/>
      <c r="AS169" s="13" t="n"/>
      <c r="AT169" s="13" t="n"/>
      <c r="AU169" s="13" t="n"/>
    </row>
    <row r="170" ht="110.1" customHeight="1" s="110" thickBot="1">
      <c r="A170" s="79" t="n">
        <v>135</v>
      </c>
      <c r="B170" s="213" t="inlineStr">
        <is>
          <t xml:space="preserve">Where?
What?　
How?　
Other info? </t>
        </is>
      </c>
      <c r="C170" s="200" t="n"/>
      <c r="D170" s="200" t="n"/>
      <c r="E170" s="200" t="n"/>
      <c r="F170" s="201" t="n"/>
      <c r="G170" s="4" t="n"/>
      <c r="H170" s="4" t="n"/>
      <c r="I170" s="78">
        <f>AK170</f>
        <v/>
      </c>
      <c r="J170" s="6" t="n"/>
      <c r="K170" s="6" t="n"/>
      <c r="L170" s="7" t="n"/>
      <c r="M170" s="8" t="n"/>
      <c r="N170" s="8" t="n"/>
      <c r="O170" s="8" t="n"/>
      <c r="P170" s="23" t="n"/>
      <c r="Q170" s="23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9" t="n"/>
      <c r="AA170" s="8" t="n"/>
      <c r="AB170" s="8" t="n"/>
      <c r="AC170" s="8" t="n"/>
      <c r="AD170" s="8" t="n"/>
      <c r="AE170" s="8" t="n"/>
      <c r="AF170" s="8" t="n"/>
      <c r="AG170" s="9" t="n"/>
      <c r="AH170" s="8" t="n"/>
      <c r="AI170" s="8" t="n"/>
      <c r="AJ170" s="9" t="n"/>
      <c r="AK170" s="56">
        <f>COUNTA(L170:AJ170)</f>
        <v/>
      </c>
      <c r="AL170" s="95" t="n"/>
      <c r="AM170" s="10" t="n"/>
      <c r="AN170" s="10" t="n"/>
      <c r="AO170" s="21" t="n"/>
      <c r="AP170" s="21" t="n"/>
      <c r="AQ170" s="21" t="n"/>
      <c r="AR170" s="21" t="n"/>
      <c r="AS170" s="13" t="n"/>
      <c r="AT170" s="13" t="n"/>
      <c r="AU170" s="13" t="n"/>
    </row>
    <row r="171" ht="110.1" customHeight="1" s="110" thickBot="1">
      <c r="A171" s="79" t="n">
        <v>136</v>
      </c>
      <c r="B171" s="213" t="inlineStr">
        <is>
          <t xml:space="preserve">Where?
What?　
How?　
Other info? </t>
        </is>
      </c>
      <c r="C171" s="200" t="n"/>
      <c r="D171" s="200" t="n"/>
      <c r="E171" s="200" t="n"/>
      <c r="F171" s="201" t="n"/>
      <c r="G171" s="4" t="n"/>
      <c r="H171" s="4" t="n"/>
      <c r="I171" s="78">
        <f>AK171</f>
        <v/>
      </c>
      <c r="J171" s="6" t="n"/>
      <c r="K171" s="6" t="n"/>
      <c r="L171" s="7" t="n"/>
      <c r="M171" s="8" t="n"/>
      <c r="N171" s="8" t="n"/>
      <c r="O171" s="8" t="n"/>
      <c r="P171" s="23" t="n"/>
      <c r="Q171" s="23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9" t="n"/>
      <c r="AA171" s="8" t="n"/>
      <c r="AB171" s="8" t="n"/>
      <c r="AC171" s="8" t="n"/>
      <c r="AD171" s="8" t="n"/>
      <c r="AE171" s="8" t="n"/>
      <c r="AF171" s="8" t="n"/>
      <c r="AG171" s="9" t="n"/>
      <c r="AH171" s="8" t="n"/>
      <c r="AI171" s="8" t="n"/>
      <c r="AJ171" s="9" t="n"/>
      <c r="AK171" s="56">
        <f>COUNTA(L171:AJ171)</f>
        <v/>
      </c>
      <c r="AL171" s="95" t="n"/>
      <c r="AM171" s="10" t="n"/>
      <c r="AN171" s="10" t="n"/>
      <c r="AO171" s="21" t="n"/>
      <c r="AP171" s="21" t="n"/>
      <c r="AQ171" s="21" t="n"/>
      <c r="AR171" s="21" t="n"/>
      <c r="AS171" s="13" t="n"/>
      <c r="AT171" s="13" t="n"/>
      <c r="AU171" s="13" t="n"/>
    </row>
    <row r="172" ht="110.1" customHeight="1" s="110" thickBot="1">
      <c r="A172" s="79" t="n">
        <v>137</v>
      </c>
      <c r="B172" s="213" t="inlineStr">
        <is>
          <t xml:space="preserve">Where?
What?　
How?　
Other info? </t>
        </is>
      </c>
      <c r="C172" s="200" t="n"/>
      <c r="D172" s="200" t="n"/>
      <c r="E172" s="200" t="n"/>
      <c r="F172" s="201" t="n"/>
      <c r="G172" s="4" t="n"/>
      <c r="H172" s="4" t="n"/>
      <c r="I172" s="78">
        <f>AK172</f>
        <v/>
      </c>
      <c r="J172" s="6" t="n"/>
      <c r="K172" s="6" t="n"/>
      <c r="L172" s="7" t="n"/>
      <c r="M172" s="8" t="n"/>
      <c r="N172" s="8" t="n"/>
      <c r="O172" s="8" t="n"/>
      <c r="P172" s="23" t="n"/>
      <c r="Q172" s="23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9" t="n"/>
      <c r="AA172" s="8" t="n"/>
      <c r="AB172" s="8" t="n"/>
      <c r="AC172" s="8" t="n"/>
      <c r="AD172" s="8" t="n"/>
      <c r="AE172" s="8" t="n"/>
      <c r="AF172" s="8" t="n"/>
      <c r="AG172" s="9" t="n"/>
      <c r="AH172" s="8" t="n"/>
      <c r="AI172" s="8" t="n"/>
      <c r="AJ172" s="9" t="n"/>
      <c r="AK172" s="56">
        <f>COUNTA(L172:AJ172)</f>
        <v/>
      </c>
      <c r="AL172" s="95" t="n"/>
      <c r="AM172" s="10" t="n"/>
      <c r="AN172" s="10" t="n"/>
      <c r="AO172" s="21" t="n"/>
      <c r="AP172" s="21" t="n"/>
      <c r="AQ172" s="21" t="n"/>
      <c r="AR172" s="21" t="n"/>
      <c r="AS172" s="13" t="n"/>
      <c r="AT172" s="13" t="n"/>
      <c r="AU172" s="13" t="n"/>
    </row>
    <row r="173" ht="110.1" customHeight="1" s="110" thickBot="1">
      <c r="A173" s="79" t="n">
        <v>138</v>
      </c>
      <c r="B173" s="213" t="inlineStr">
        <is>
          <t xml:space="preserve">Where?
What?　
How?　
Other info? </t>
        </is>
      </c>
      <c r="C173" s="200" t="n"/>
      <c r="D173" s="200" t="n"/>
      <c r="E173" s="200" t="n"/>
      <c r="F173" s="201" t="n"/>
      <c r="G173" s="4" t="n"/>
      <c r="H173" s="4" t="n"/>
      <c r="I173" s="78">
        <f>AK173</f>
        <v/>
      </c>
      <c r="J173" s="6" t="n"/>
      <c r="K173" s="6" t="n"/>
      <c r="L173" s="7" t="n"/>
      <c r="M173" s="8" t="n"/>
      <c r="N173" s="8" t="n"/>
      <c r="O173" s="8" t="n"/>
      <c r="P173" s="23" t="n"/>
      <c r="Q173" s="23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9" t="n"/>
      <c r="AA173" s="8" t="n"/>
      <c r="AB173" s="8" t="n"/>
      <c r="AC173" s="8" t="n"/>
      <c r="AD173" s="8" t="n"/>
      <c r="AE173" s="8" t="n"/>
      <c r="AF173" s="8" t="n"/>
      <c r="AG173" s="9" t="n"/>
      <c r="AH173" s="8" t="n"/>
      <c r="AI173" s="8" t="n"/>
      <c r="AJ173" s="9" t="n"/>
      <c r="AK173" s="56">
        <f>COUNTA(L173:AJ173)</f>
        <v/>
      </c>
      <c r="AL173" s="95" t="n"/>
      <c r="AM173" s="10" t="n"/>
      <c r="AN173" s="10" t="n"/>
      <c r="AO173" s="21" t="n"/>
      <c r="AP173" s="21" t="n"/>
      <c r="AQ173" s="21" t="n"/>
      <c r="AR173" s="21" t="n"/>
      <c r="AS173" s="13" t="n"/>
      <c r="AT173" s="13" t="n"/>
      <c r="AU173" s="13" t="n"/>
    </row>
    <row r="174" ht="110.1" customHeight="1" s="110" thickBot="1">
      <c r="A174" s="79" t="n">
        <v>139</v>
      </c>
      <c r="B174" s="213" t="inlineStr">
        <is>
          <t xml:space="preserve">Where?
What?　
How?　
Other info? </t>
        </is>
      </c>
      <c r="C174" s="200" t="n"/>
      <c r="D174" s="200" t="n"/>
      <c r="E174" s="200" t="n"/>
      <c r="F174" s="201" t="n"/>
      <c r="G174" s="4" t="n"/>
      <c r="H174" s="4" t="n"/>
      <c r="I174" s="78">
        <f>AK174</f>
        <v/>
      </c>
      <c r="J174" s="6" t="n"/>
      <c r="K174" s="6" t="n"/>
      <c r="L174" s="7" t="n"/>
      <c r="M174" s="8" t="n"/>
      <c r="N174" s="8" t="n"/>
      <c r="O174" s="8" t="n"/>
      <c r="P174" s="23" t="n"/>
      <c r="Q174" s="23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9" t="n"/>
      <c r="AA174" s="8" t="n"/>
      <c r="AB174" s="8" t="n"/>
      <c r="AC174" s="8" t="n"/>
      <c r="AD174" s="8" t="n"/>
      <c r="AE174" s="8" t="n"/>
      <c r="AF174" s="8" t="n"/>
      <c r="AG174" s="9" t="n"/>
      <c r="AH174" s="8" t="n"/>
      <c r="AI174" s="8" t="n"/>
      <c r="AJ174" s="9" t="n"/>
      <c r="AK174" s="56">
        <f>COUNTA(L174:AJ174)</f>
        <v/>
      </c>
      <c r="AL174" s="95" t="n"/>
      <c r="AM174" s="10" t="n"/>
      <c r="AN174" s="10" t="n"/>
      <c r="AO174" s="21" t="n"/>
      <c r="AP174" s="21" t="n"/>
      <c r="AQ174" s="21" t="n"/>
      <c r="AR174" s="21" t="n"/>
      <c r="AS174" s="13" t="n"/>
      <c r="AT174" s="13" t="n"/>
      <c r="AU174" s="13" t="n"/>
    </row>
    <row r="175" ht="110.1" customHeight="1" s="110" thickBot="1">
      <c r="A175" s="79" t="n">
        <v>140</v>
      </c>
      <c r="B175" s="213" t="inlineStr">
        <is>
          <t xml:space="preserve">Where?
What?　
How?　
Other info? </t>
        </is>
      </c>
      <c r="C175" s="200" t="n"/>
      <c r="D175" s="200" t="n"/>
      <c r="E175" s="200" t="n"/>
      <c r="F175" s="201" t="n"/>
      <c r="G175" s="4" t="n"/>
      <c r="H175" s="4" t="n"/>
      <c r="I175" s="78">
        <f>AK175</f>
        <v/>
      </c>
      <c r="J175" s="6" t="n"/>
      <c r="K175" s="6" t="n"/>
      <c r="L175" s="7" t="n"/>
      <c r="M175" s="8" t="n"/>
      <c r="N175" s="8" t="n"/>
      <c r="O175" s="8" t="n"/>
      <c r="P175" s="23" t="n"/>
      <c r="Q175" s="23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9" t="n"/>
      <c r="AA175" s="8" t="n"/>
      <c r="AB175" s="8" t="n"/>
      <c r="AC175" s="8" t="n"/>
      <c r="AD175" s="8" t="n"/>
      <c r="AE175" s="8" t="n"/>
      <c r="AF175" s="8" t="n"/>
      <c r="AG175" s="9" t="n"/>
      <c r="AH175" s="8" t="n"/>
      <c r="AI175" s="8" t="n"/>
      <c r="AJ175" s="9" t="n"/>
      <c r="AK175" s="56">
        <f>COUNTA(L175:AJ175)</f>
        <v/>
      </c>
      <c r="AL175" s="95" t="n"/>
      <c r="AM175" s="10" t="n"/>
      <c r="AN175" s="10" t="n"/>
      <c r="AO175" s="21" t="n"/>
      <c r="AP175" s="21" t="n"/>
      <c r="AQ175" s="21" t="n"/>
      <c r="AR175" s="21" t="n"/>
      <c r="AS175" s="13" t="n"/>
      <c r="AT175" s="13" t="n"/>
      <c r="AU175" s="13" t="n"/>
    </row>
    <row r="176" ht="110.1" customHeight="1" s="110" thickBot="1">
      <c r="A176" s="79" t="n">
        <v>141</v>
      </c>
      <c r="B176" s="213" t="inlineStr">
        <is>
          <t xml:space="preserve">Where?
What?　
How?　
Other info? </t>
        </is>
      </c>
      <c r="C176" s="200" t="n"/>
      <c r="D176" s="200" t="n"/>
      <c r="E176" s="200" t="n"/>
      <c r="F176" s="201" t="n"/>
      <c r="G176" s="4" t="n"/>
      <c r="H176" s="4" t="n"/>
      <c r="I176" s="78">
        <f>AK176</f>
        <v/>
      </c>
      <c r="J176" s="6" t="n"/>
      <c r="K176" s="6" t="n"/>
      <c r="L176" s="7" t="n"/>
      <c r="M176" s="8" t="n"/>
      <c r="N176" s="8" t="n"/>
      <c r="O176" s="8" t="n"/>
      <c r="P176" s="23" t="n"/>
      <c r="Q176" s="23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9" t="n"/>
      <c r="AA176" s="8" t="n"/>
      <c r="AB176" s="8" t="n"/>
      <c r="AC176" s="8" t="n"/>
      <c r="AD176" s="8" t="n"/>
      <c r="AE176" s="8" t="n"/>
      <c r="AF176" s="8" t="n"/>
      <c r="AG176" s="9" t="n"/>
      <c r="AH176" s="8" t="n"/>
      <c r="AI176" s="8" t="n"/>
      <c r="AJ176" s="9" t="n"/>
      <c r="AK176" s="56">
        <f>COUNTA(L176:AJ176)</f>
        <v/>
      </c>
      <c r="AL176" s="95" t="n"/>
      <c r="AM176" s="10" t="n"/>
      <c r="AN176" s="10" t="n"/>
      <c r="AO176" s="21" t="n"/>
      <c r="AP176" s="21" t="n"/>
      <c r="AQ176" s="21" t="n"/>
      <c r="AR176" s="21" t="n"/>
      <c r="AS176" s="13" t="n"/>
      <c r="AT176" s="13" t="n"/>
      <c r="AU176" s="13" t="n"/>
    </row>
    <row r="177" ht="110.1" customFormat="1" customHeight="1" s="14" thickBot="1">
      <c r="A177" s="79" t="n">
        <v>142</v>
      </c>
      <c r="B177" s="213" t="inlineStr">
        <is>
          <t xml:space="preserve">Where?
What?　
How?　
Other info? </t>
        </is>
      </c>
      <c r="C177" s="200" t="n"/>
      <c r="D177" s="200" t="n"/>
      <c r="E177" s="200" t="n"/>
      <c r="F177" s="201" t="n"/>
      <c r="G177" s="4" t="n"/>
      <c r="H177" s="4" t="n"/>
      <c r="I177" s="78">
        <f>AK177</f>
        <v/>
      </c>
      <c r="J177" s="15" t="n"/>
      <c r="K177" s="6" t="n"/>
      <c r="L177" s="7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9" t="n"/>
      <c r="AA177" s="8" t="n"/>
      <c r="AB177" s="8" t="n"/>
      <c r="AC177" s="8" t="n"/>
      <c r="AD177" s="8" t="n"/>
      <c r="AE177" s="8" t="n"/>
      <c r="AF177" s="8" t="n"/>
      <c r="AG177" s="9" t="n"/>
      <c r="AH177" s="8" t="n"/>
      <c r="AI177" s="8" t="n"/>
      <c r="AJ177" s="9" t="n"/>
      <c r="AK177" s="56">
        <f>COUNTA(L177:AJ177)</f>
        <v/>
      </c>
      <c r="AL177" s="95" t="n"/>
      <c r="AM177" s="10" t="n"/>
      <c r="AN177" s="10" t="n"/>
      <c r="AO177" s="11" t="n"/>
      <c r="AP177" s="11" t="n"/>
      <c r="AQ177" s="16" t="n"/>
      <c r="AR177" s="13" t="n"/>
      <c r="AS177" s="13" t="n"/>
      <c r="AT177" s="13" t="n"/>
      <c r="AU177" s="13" t="n"/>
    </row>
    <row r="178" ht="110.1" customFormat="1" customHeight="1" s="14" thickBot="1">
      <c r="A178" s="79" t="n">
        <v>143</v>
      </c>
      <c r="B178" s="213" t="inlineStr">
        <is>
          <t xml:space="preserve">Where?
What?　
How?　
Other info? </t>
        </is>
      </c>
      <c r="C178" s="200" t="n"/>
      <c r="D178" s="200" t="n"/>
      <c r="E178" s="200" t="n"/>
      <c r="F178" s="201" t="n"/>
      <c r="G178" s="4" t="n"/>
      <c r="H178" s="4" t="n"/>
      <c r="I178" s="78">
        <f>AK178</f>
        <v/>
      </c>
      <c r="J178" s="15" t="n"/>
      <c r="K178" s="6" t="n"/>
      <c r="L178" s="7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9" t="n"/>
      <c r="AA178" s="8" t="n"/>
      <c r="AB178" s="8" t="n"/>
      <c r="AC178" s="8" t="n"/>
      <c r="AD178" s="8" t="n"/>
      <c r="AE178" s="8" t="n"/>
      <c r="AF178" s="8" t="n"/>
      <c r="AG178" s="9" t="n"/>
      <c r="AH178" s="8" t="n"/>
      <c r="AI178" s="8" t="n"/>
      <c r="AJ178" s="9" t="n"/>
      <c r="AK178" s="56">
        <f>COUNTA(L178:AJ178)</f>
        <v/>
      </c>
      <c r="AL178" s="95" t="n"/>
      <c r="AM178" s="10" t="n"/>
      <c r="AN178" s="10" t="n"/>
      <c r="AO178" s="11" t="n"/>
      <c r="AP178" s="11" t="n"/>
      <c r="AQ178" s="16" t="n"/>
      <c r="AR178" s="13" t="n"/>
      <c r="AS178" s="13" t="n"/>
      <c r="AT178" s="13" t="n"/>
      <c r="AU178" s="13" t="n"/>
    </row>
    <row r="179" ht="110.1" customFormat="1" customHeight="1" s="14" thickBot="1">
      <c r="A179" s="79" t="n">
        <v>144</v>
      </c>
      <c r="B179" s="213" t="inlineStr">
        <is>
          <t xml:space="preserve">Where?
What?　
How?　
Other info? </t>
        </is>
      </c>
      <c r="C179" s="200" t="n"/>
      <c r="D179" s="200" t="n"/>
      <c r="E179" s="200" t="n"/>
      <c r="F179" s="201" t="n"/>
      <c r="G179" s="4" t="n"/>
      <c r="H179" s="4" t="n"/>
      <c r="I179" s="78">
        <f>AK179</f>
        <v/>
      </c>
      <c r="J179" s="15" t="n"/>
      <c r="K179" s="6" t="n"/>
      <c r="L179" s="7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9" t="n"/>
      <c r="AA179" s="8" t="n"/>
      <c r="AB179" s="8" t="n"/>
      <c r="AC179" s="8" t="n"/>
      <c r="AD179" s="8" t="n"/>
      <c r="AE179" s="8" t="n"/>
      <c r="AF179" s="8" t="n"/>
      <c r="AG179" s="9" t="n"/>
      <c r="AH179" s="8" t="n"/>
      <c r="AI179" s="8" t="n"/>
      <c r="AJ179" s="9" t="n"/>
      <c r="AK179" s="56">
        <f>COUNTA(L179:AJ179)</f>
        <v/>
      </c>
      <c r="AL179" s="95" t="n"/>
      <c r="AM179" s="10" t="n"/>
      <c r="AN179" s="10" t="n"/>
      <c r="AO179" s="11" t="n"/>
      <c r="AP179" s="11" t="n"/>
      <c r="AQ179" s="16" t="n"/>
      <c r="AR179" s="13" t="n"/>
      <c r="AS179" s="13" t="n"/>
      <c r="AT179" s="13" t="n"/>
      <c r="AU179" s="13" t="n"/>
    </row>
    <row r="180" ht="110.1" customFormat="1" customHeight="1" s="14" thickBot="1">
      <c r="A180" s="79" t="n">
        <v>145</v>
      </c>
      <c r="B180" s="213" t="inlineStr">
        <is>
          <t xml:space="preserve">Where?
What?　
How?　
Other info? </t>
        </is>
      </c>
      <c r="C180" s="200" t="n"/>
      <c r="D180" s="200" t="n"/>
      <c r="E180" s="200" t="n"/>
      <c r="F180" s="201" t="n"/>
      <c r="G180" s="4" t="n"/>
      <c r="H180" s="4" t="n"/>
      <c r="I180" s="78">
        <f>AK180</f>
        <v/>
      </c>
      <c r="J180" s="15" t="n"/>
      <c r="K180" s="6" t="n"/>
      <c r="L180" s="7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9" t="n"/>
      <c r="AA180" s="8" t="n"/>
      <c r="AB180" s="8" t="n"/>
      <c r="AC180" s="8" t="n"/>
      <c r="AD180" s="8" t="n"/>
      <c r="AE180" s="8" t="n"/>
      <c r="AF180" s="8" t="n"/>
      <c r="AG180" s="9" t="n"/>
      <c r="AH180" s="8" t="n"/>
      <c r="AI180" s="8" t="n"/>
      <c r="AJ180" s="9" t="n"/>
      <c r="AK180" s="56">
        <f>COUNTA(L180:AJ180)</f>
        <v/>
      </c>
      <c r="AL180" s="95" t="n"/>
      <c r="AM180" s="10" t="n"/>
      <c r="AN180" s="10" t="n"/>
      <c r="AO180" s="11" t="n"/>
      <c r="AP180" s="11" t="n"/>
      <c r="AQ180" s="16" t="n"/>
      <c r="AR180" s="13" t="n"/>
      <c r="AS180" s="13" t="n"/>
      <c r="AT180" s="13" t="n"/>
      <c r="AU180" s="13" t="n"/>
    </row>
    <row r="181" ht="110.1" customFormat="1" customHeight="1" s="14" thickBot="1">
      <c r="A181" s="79" t="n">
        <v>146</v>
      </c>
      <c r="B181" s="213" t="inlineStr">
        <is>
          <t xml:space="preserve">Where?
What?　
How?　
Other info? </t>
        </is>
      </c>
      <c r="C181" s="200" t="n"/>
      <c r="D181" s="200" t="n"/>
      <c r="E181" s="200" t="n"/>
      <c r="F181" s="201" t="n"/>
      <c r="G181" s="4" t="n"/>
      <c r="H181" s="4" t="n"/>
      <c r="I181" s="78">
        <f>AK181</f>
        <v/>
      </c>
      <c r="J181" s="15" t="n"/>
      <c r="K181" s="6" t="n"/>
      <c r="L181" s="7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9" t="n"/>
      <c r="AA181" s="8" t="n"/>
      <c r="AB181" s="8" t="n"/>
      <c r="AC181" s="8" t="n"/>
      <c r="AD181" s="8" t="n"/>
      <c r="AE181" s="8" t="n"/>
      <c r="AF181" s="8" t="n"/>
      <c r="AG181" s="9" t="n"/>
      <c r="AH181" s="8" t="n"/>
      <c r="AI181" s="8" t="n"/>
      <c r="AJ181" s="9" t="n"/>
      <c r="AK181" s="56">
        <f>COUNTA(L181:AJ181)</f>
        <v/>
      </c>
      <c r="AL181" s="95" t="n"/>
      <c r="AM181" s="10" t="n"/>
      <c r="AN181" s="10" t="n"/>
      <c r="AO181" s="11" t="n"/>
      <c r="AP181" s="11" t="n"/>
      <c r="AQ181" s="16" t="n"/>
      <c r="AR181" s="13" t="n"/>
      <c r="AS181" s="13" t="n"/>
      <c r="AT181" s="13" t="n"/>
      <c r="AU181" s="13" t="n"/>
    </row>
    <row r="182" ht="110.1" customFormat="1" customHeight="1" s="14" thickBot="1">
      <c r="A182" s="79" t="n">
        <v>147</v>
      </c>
      <c r="B182" s="213" t="inlineStr">
        <is>
          <t xml:space="preserve">Where?
What?　
How?　
Other info? </t>
        </is>
      </c>
      <c r="C182" s="200" t="n"/>
      <c r="D182" s="200" t="n"/>
      <c r="E182" s="200" t="n"/>
      <c r="F182" s="201" t="n"/>
      <c r="G182" s="4" t="n"/>
      <c r="H182" s="4" t="n"/>
      <c r="I182" s="78">
        <f>AK182</f>
        <v/>
      </c>
      <c r="J182" s="15" t="n"/>
      <c r="K182" s="6" t="n"/>
      <c r="L182" s="7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9" t="n"/>
      <c r="AA182" s="8" t="n"/>
      <c r="AB182" s="8" t="n"/>
      <c r="AC182" s="8" t="n"/>
      <c r="AD182" s="8" t="n"/>
      <c r="AE182" s="8" t="n"/>
      <c r="AF182" s="8" t="n"/>
      <c r="AG182" s="9" t="n"/>
      <c r="AH182" s="8" t="n"/>
      <c r="AI182" s="8" t="n"/>
      <c r="AJ182" s="9" t="n"/>
      <c r="AK182" s="56">
        <f>COUNTA(L182:AJ182)</f>
        <v/>
      </c>
      <c r="AL182" s="95" t="n"/>
      <c r="AM182" s="10" t="n"/>
      <c r="AN182" s="10" t="n"/>
      <c r="AO182" s="11" t="n"/>
      <c r="AP182" s="11" t="n"/>
      <c r="AQ182" s="16" t="n"/>
      <c r="AR182" s="13" t="n"/>
      <c r="AS182" s="13" t="n"/>
      <c r="AT182" s="13" t="n"/>
      <c r="AU182" s="13" t="n"/>
    </row>
    <row r="183" ht="110.1" customFormat="1" customHeight="1" s="14" thickBot="1">
      <c r="A183" s="79" t="n">
        <v>148</v>
      </c>
      <c r="B183" s="213" t="inlineStr">
        <is>
          <t xml:space="preserve">Where?
What?　
How?　
Other info? </t>
        </is>
      </c>
      <c r="C183" s="200" t="n"/>
      <c r="D183" s="200" t="n"/>
      <c r="E183" s="200" t="n"/>
      <c r="F183" s="201" t="n"/>
      <c r="G183" s="4" t="n"/>
      <c r="H183" s="4" t="n"/>
      <c r="I183" s="78">
        <f>AK183</f>
        <v/>
      </c>
      <c r="J183" s="15" t="n"/>
      <c r="K183" s="6" t="n"/>
      <c r="L183" s="7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9" t="n"/>
      <c r="AA183" s="8" t="n"/>
      <c r="AB183" s="8" t="n"/>
      <c r="AC183" s="8" t="n"/>
      <c r="AD183" s="8" t="n"/>
      <c r="AE183" s="8" t="n"/>
      <c r="AF183" s="8" t="n"/>
      <c r="AG183" s="9" t="n"/>
      <c r="AH183" s="8" t="n"/>
      <c r="AI183" s="8" t="n"/>
      <c r="AJ183" s="9" t="n"/>
      <c r="AK183" s="56">
        <f>COUNTA(L183:AJ183)</f>
        <v/>
      </c>
      <c r="AL183" s="95" t="n"/>
      <c r="AM183" s="10" t="n"/>
      <c r="AN183" s="10" t="n"/>
      <c r="AO183" s="11" t="n"/>
      <c r="AP183" s="11" t="n"/>
      <c r="AQ183" s="16" t="n"/>
      <c r="AR183" s="13" t="n"/>
      <c r="AS183" s="13" t="n"/>
      <c r="AT183" s="13" t="n"/>
      <c r="AU183" s="13" t="n"/>
    </row>
    <row r="184" ht="110.1" customFormat="1" customHeight="1" s="14" thickBot="1">
      <c r="A184" s="79" t="n">
        <v>149</v>
      </c>
      <c r="B184" s="213" t="inlineStr">
        <is>
          <t xml:space="preserve">Where?
What?　
How?　
Other info? </t>
        </is>
      </c>
      <c r="C184" s="200" t="n"/>
      <c r="D184" s="200" t="n"/>
      <c r="E184" s="200" t="n"/>
      <c r="F184" s="201" t="n"/>
      <c r="G184" s="4" t="n"/>
      <c r="H184" s="4" t="n"/>
      <c r="I184" s="78">
        <f>AK184</f>
        <v/>
      </c>
      <c r="J184" s="15" t="n"/>
      <c r="K184" s="6" t="n"/>
      <c r="L184" s="7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9" t="n"/>
      <c r="AA184" s="8" t="n"/>
      <c r="AB184" s="8" t="n"/>
      <c r="AC184" s="8" t="n"/>
      <c r="AD184" s="8" t="n"/>
      <c r="AE184" s="8" t="n"/>
      <c r="AF184" s="8" t="n"/>
      <c r="AG184" s="9" t="n"/>
      <c r="AH184" s="8" t="n"/>
      <c r="AI184" s="8" t="n"/>
      <c r="AJ184" s="9" t="n"/>
      <c r="AK184" s="56">
        <f>COUNTA(L184:AJ184)</f>
        <v/>
      </c>
      <c r="AL184" s="95" t="n"/>
      <c r="AM184" s="10" t="n"/>
      <c r="AN184" s="10" t="n"/>
      <c r="AO184" s="11" t="n"/>
      <c r="AP184" s="11" t="n"/>
      <c r="AQ184" s="16" t="n"/>
      <c r="AR184" s="13" t="n"/>
      <c r="AS184" s="13" t="n"/>
      <c r="AT184" s="13" t="n"/>
      <c r="AU184" s="13" t="n"/>
    </row>
    <row r="185" ht="110.1" customFormat="1" customHeight="1" s="14" thickBot="1">
      <c r="A185" s="79" t="n">
        <v>150</v>
      </c>
      <c r="B185" s="213" t="inlineStr">
        <is>
          <t xml:space="preserve">Where?
What?　
How?　
Other info? </t>
        </is>
      </c>
      <c r="C185" s="200" t="n"/>
      <c r="D185" s="200" t="n"/>
      <c r="E185" s="200" t="n"/>
      <c r="F185" s="201" t="n"/>
      <c r="G185" s="4" t="n"/>
      <c r="H185" s="4" t="n"/>
      <c r="I185" s="78">
        <f>AK185</f>
        <v/>
      </c>
      <c r="J185" s="15" t="n"/>
      <c r="K185" s="6" t="n"/>
      <c r="L185" s="7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9" t="n"/>
      <c r="AA185" s="8" t="n"/>
      <c r="AB185" s="8" t="n"/>
      <c r="AC185" s="8" t="n"/>
      <c r="AD185" s="8" t="n"/>
      <c r="AE185" s="8" t="n"/>
      <c r="AF185" s="8" t="n"/>
      <c r="AG185" s="9" t="n"/>
      <c r="AH185" s="8" t="n"/>
      <c r="AI185" s="8" t="n"/>
      <c r="AJ185" s="9" t="n"/>
      <c r="AK185" s="56">
        <f>COUNTA(L185:AJ185)</f>
        <v/>
      </c>
      <c r="AL185" s="95" t="n"/>
      <c r="AM185" s="10" t="n"/>
      <c r="AN185" s="10" t="n"/>
      <c r="AO185" s="11" t="n"/>
      <c r="AP185" s="11" t="n"/>
      <c r="AQ185" s="16" t="n"/>
      <c r="AR185" s="13" t="n"/>
      <c r="AS185" s="13" t="n"/>
      <c r="AT185" s="13" t="n"/>
      <c r="AU185" s="13" t="n"/>
    </row>
    <row r="186" ht="110.1" customFormat="1" customHeight="1" s="14" thickBot="1">
      <c r="A186" s="79" t="n">
        <v>151</v>
      </c>
      <c r="B186" s="213" t="inlineStr">
        <is>
          <t xml:space="preserve">Where?
What?　
How?　
Other info? </t>
        </is>
      </c>
      <c r="C186" s="200" t="n"/>
      <c r="D186" s="200" t="n"/>
      <c r="E186" s="200" t="n"/>
      <c r="F186" s="201" t="n"/>
      <c r="G186" s="4" t="n"/>
      <c r="H186" s="4" t="n"/>
      <c r="I186" s="78">
        <f>AK186</f>
        <v/>
      </c>
      <c r="J186" s="15" t="n"/>
      <c r="K186" s="6" t="n"/>
      <c r="L186" s="7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9" t="n"/>
      <c r="AA186" s="8" t="n"/>
      <c r="AB186" s="8" t="n"/>
      <c r="AC186" s="8" t="n"/>
      <c r="AD186" s="8" t="n"/>
      <c r="AE186" s="8" t="n"/>
      <c r="AF186" s="8" t="n"/>
      <c r="AG186" s="9" t="n"/>
      <c r="AH186" s="8" t="n"/>
      <c r="AI186" s="8" t="n"/>
      <c r="AJ186" s="9" t="n"/>
      <c r="AK186" s="56">
        <f>COUNTA(L186:AJ186)</f>
        <v/>
      </c>
      <c r="AL186" s="95" t="n"/>
      <c r="AM186" s="10" t="n"/>
      <c r="AN186" s="10" t="n"/>
      <c r="AO186" s="11" t="n"/>
      <c r="AP186" s="11" t="n"/>
      <c r="AQ186" s="16" t="n"/>
      <c r="AR186" s="13" t="n"/>
      <c r="AS186" s="13" t="n"/>
      <c r="AT186" s="13" t="n"/>
      <c r="AU186" s="13" t="n"/>
    </row>
    <row r="187" ht="110.1" customFormat="1" customHeight="1" s="14" thickBot="1">
      <c r="A187" s="79" t="n">
        <v>152</v>
      </c>
      <c r="B187" s="213" t="inlineStr">
        <is>
          <t xml:space="preserve">Where?
What?　
How?　
Other info? </t>
        </is>
      </c>
      <c r="C187" s="200" t="n"/>
      <c r="D187" s="200" t="n"/>
      <c r="E187" s="200" t="n"/>
      <c r="F187" s="201" t="n"/>
      <c r="G187" s="4" t="n"/>
      <c r="H187" s="4" t="n"/>
      <c r="I187" s="78">
        <f>AK187</f>
        <v/>
      </c>
      <c r="J187" s="15" t="n"/>
      <c r="K187" s="6" t="n"/>
      <c r="L187" s="7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9" t="n"/>
      <c r="AA187" s="8" t="n"/>
      <c r="AB187" s="8" t="n"/>
      <c r="AC187" s="8" t="n"/>
      <c r="AD187" s="8" t="n"/>
      <c r="AE187" s="8" t="n"/>
      <c r="AF187" s="8" t="n"/>
      <c r="AG187" s="9" t="n"/>
      <c r="AH187" s="8" t="n"/>
      <c r="AI187" s="8" t="n"/>
      <c r="AJ187" s="9" t="n"/>
      <c r="AK187" s="56">
        <f>COUNTA(L187:AJ187)</f>
        <v/>
      </c>
      <c r="AL187" s="95" t="n"/>
      <c r="AM187" s="10" t="n"/>
      <c r="AN187" s="10" t="n"/>
      <c r="AO187" s="11" t="n"/>
      <c r="AP187" s="11" t="n"/>
      <c r="AQ187" s="16" t="n"/>
      <c r="AR187" s="13" t="n"/>
      <c r="AS187" s="13" t="n"/>
      <c r="AT187" s="13" t="n"/>
      <c r="AU187" s="13" t="n"/>
    </row>
    <row r="188" ht="110.1" customFormat="1" customHeight="1" s="14" thickBot="1">
      <c r="A188" s="79" t="n">
        <v>153</v>
      </c>
      <c r="B188" s="213" t="inlineStr">
        <is>
          <t xml:space="preserve">Where?
What?　
How?　
Other info? </t>
        </is>
      </c>
      <c r="C188" s="200" t="n"/>
      <c r="D188" s="200" t="n"/>
      <c r="E188" s="200" t="n"/>
      <c r="F188" s="201" t="n"/>
      <c r="G188" s="17" t="n"/>
      <c r="H188" s="4" t="n"/>
      <c r="I188" s="78">
        <f>AK188</f>
        <v/>
      </c>
      <c r="J188" s="15" t="n"/>
      <c r="K188" s="6" t="n"/>
      <c r="L188" s="7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9" t="n"/>
      <c r="AA188" s="8" t="n"/>
      <c r="AB188" s="8" t="n"/>
      <c r="AC188" s="8" t="n"/>
      <c r="AD188" s="8" t="n"/>
      <c r="AE188" s="8" t="n"/>
      <c r="AF188" s="8" t="n"/>
      <c r="AG188" s="9" t="n"/>
      <c r="AH188" s="8" t="n"/>
      <c r="AI188" s="8" t="n"/>
      <c r="AJ188" s="9" t="n"/>
      <c r="AK188" s="56">
        <f>COUNTA(L188:AJ188)</f>
        <v/>
      </c>
      <c r="AL188" s="95" t="n"/>
      <c r="AM188" s="10" t="n"/>
      <c r="AN188" s="10" t="n"/>
      <c r="AO188" s="11" t="n"/>
      <c r="AP188" s="11" t="n"/>
      <c r="AQ188" s="16" t="n"/>
      <c r="AR188" s="13" t="n"/>
      <c r="AS188" s="13" t="n"/>
      <c r="AT188" s="13" t="n"/>
      <c r="AU188" s="13" t="n"/>
    </row>
    <row r="189" ht="110.1" customFormat="1" customHeight="1" s="14" thickBot="1">
      <c r="A189" s="79" t="n">
        <v>154</v>
      </c>
      <c r="B189" s="213" t="inlineStr">
        <is>
          <t xml:space="preserve">Where?
What?　
How?　
Other info? </t>
        </is>
      </c>
      <c r="C189" s="200" t="n"/>
      <c r="D189" s="200" t="n"/>
      <c r="E189" s="200" t="n"/>
      <c r="F189" s="201" t="n"/>
      <c r="G189" s="4" t="n"/>
      <c r="H189" s="4" t="n"/>
      <c r="I189" s="78">
        <f>AK189</f>
        <v/>
      </c>
      <c r="J189" s="15" t="n"/>
      <c r="K189" s="6" t="n"/>
      <c r="L189" s="7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9" t="n"/>
      <c r="AA189" s="8" t="n"/>
      <c r="AB189" s="8" t="n"/>
      <c r="AC189" s="8" t="n"/>
      <c r="AD189" s="8" t="n"/>
      <c r="AE189" s="8" t="n"/>
      <c r="AF189" s="8" t="n"/>
      <c r="AG189" s="9" t="n"/>
      <c r="AH189" s="8" t="n"/>
      <c r="AI189" s="8" t="n"/>
      <c r="AJ189" s="9" t="n"/>
      <c r="AK189" s="56">
        <f>COUNTA(L189:AJ189)</f>
        <v/>
      </c>
      <c r="AL189" s="95" t="n"/>
      <c r="AM189" s="10" t="n"/>
      <c r="AN189" s="10" t="n"/>
      <c r="AO189" s="11" t="n"/>
      <c r="AP189" s="11" t="n"/>
      <c r="AQ189" s="16" t="n"/>
      <c r="AR189" s="13" t="n"/>
      <c r="AS189" s="13" t="n"/>
      <c r="AT189" s="13" t="n"/>
      <c r="AU189" s="13" t="n"/>
    </row>
    <row r="190" ht="110.1" customFormat="1" customHeight="1" s="14" thickBot="1">
      <c r="A190" s="79" t="n">
        <v>155</v>
      </c>
      <c r="B190" s="213" t="inlineStr">
        <is>
          <t xml:space="preserve">Where?
What?　
How?　
Other info? </t>
        </is>
      </c>
      <c r="C190" s="200" t="n"/>
      <c r="D190" s="200" t="n"/>
      <c r="E190" s="200" t="n"/>
      <c r="F190" s="201" t="n"/>
      <c r="G190" s="4" t="n"/>
      <c r="H190" s="4" t="n"/>
      <c r="I190" s="78">
        <f>AK190</f>
        <v/>
      </c>
      <c r="J190" s="15" t="n"/>
      <c r="K190" s="6" t="n"/>
      <c r="L190" s="7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9" t="n"/>
      <c r="AA190" s="8" t="n"/>
      <c r="AB190" s="8" t="n"/>
      <c r="AC190" s="8" t="n"/>
      <c r="AD190" s="8" t="n"/>
      <c r="AE190" s="8" t="n"/>
      <c r="AF190" s="8" t="n"/>
      <c r="AG190" s="9" t="n"/>
      <c r="AH190" s="8" t="n"/>
      <c r="AI190" s="8" t="n"/>
      <c r="AJ190" s="9" t="n"/>
      <c r="AK190" s="56">
        <f>COUNTA(L190:AJ190)</f>
        <v/>
      </c>
      <c r="AL190" s="95" t="n"/>
      <c r="AM190" s="10" t="n"/>
      <c r="AN190" s="10" t="n"/>
      <c r="AO190" s="11" t="n"/>
      <c r="AP190" s="11" t="n"/>
      <c r="AQ190" s="16" t="n"/>
      <c r="AR190" s="13" t="n"/>
      <c r="AS190" s="13" t="n"/>
      <c r="AT190" s="13" t="n"/>
      <c r="AU190" s="13" t="n"/>
    </row>
    <row r="191" ht="110.1" customFormat="1" customHeight="1" s="14" thickBot="1">
      <c r="A191" s="79" t="n">
        <v>156</v>
      </c>
      <c r="B191" s="213" t="inlineStr">
        <is>
          <t xml:space="preserve">Where?
What?　
How?　
Other info? </t>
        </is>
      </c>
      <c r="C191" s="200" t="n"/>
      <c r="D191" s="200" t="n"/>
      <c r="E191" s="200" t="n"/>
      <c r="F191" s="201" t="n"/>
      <c r="G191" s="4" t="n"/>
      <c r="H191" s="4" t="n"/>
      <c r="I191" s="78">
        <f>AK191</f>
        <v/>
      </c>
      <c r="J191" s="15" t="n"/>
      <c r="K191" s="6" t="n"/>
      <c r="L191" s="7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9" t="n"/>
      <c r="AA191" s="8" t="n"/>
      <c r="AB191" s="8" t="n"/>
      <c r="AC191" s="8" t="n"/>
      <c r="AD191" s="8" t="n"/>
      <c r="AE191" s="8" t="n"/>
      <c r="AF191" s="8" t="n"/>
      <c r="AG191" s="9" t="n"/>
      <c r="AH191" s="8" t="n"/>
      <c r="AI191" s="8" t="n"/>
      <c r="AJ191" s="9" t="n"/>
      <c r="AK191" s="56">
        <f>COUNTA(L191:AJ191)</f>
        <v/>
      </c>
      <c r="AL191" s="95" t="n"/>
      <c r="AM191" s="10" t="n"/>
      <c r="AN191" s="10" t="n"/>
      <c r="AO191" s="11" t="n"/>
      <c r="AP191" s="11" t="n"/>
      <c r="AQ191" s="16" t="n"/>
      <c r="AR191" s="13" t="n"/>
      <c r="AS191" s="13" t="n"/>
      <c r="AT191" s="13" t="n"/>
      <c r="AU191" s="13" t="n"/>
    </row>
    <row r="192" ht="110.1" customFormat="1" customHeight="1" s="14" thickBot="1">
      <c r="A192" s="79" t="n">
        <v>157</v>
      </c>
      <c r="B192" s="213" t="inlineStr">
        <is>
          <t xml:space="preserve">Where?
What?　
How?　
Other info? </t>
        </is>
      </c>
      <c r="C192" s="200" t="n"/>
      <c r="D192" s="200" t="n"/>
      <c r="E192" s="200" t="n"/>
      <c r="F192" s="201" t="n"/>
      <c r="G192" s="4" t="n"/>
      <c r="H192" s="4" t="n"/>
      <c r="I192" s="78">
        <f>AK192</f>
        <v/>
      </c>
      <c r="J192" s="15" t="n"/>
      <c r="K192" s="6" t="n"/>
      <c r="L192" s="7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9" t="n"/>
      <c r="AA192" s="8" t="n"/>
      <c r="AB192" s="8" t="n"/>
      <c r="AC192" s="8" t="n"/>
      <c r="AD192" s="8" t="n"/>
      <c r="AE192" s="8" t="n"/>
      <c r="AF192" s="8" t="n"/>
      <c r="AG192" s="9" t="n"/>
      <c r="AH192" s="8" t="n"/>
      <c r="AI192" s="8" t="n"/>
      <c r="AJ192" s="9" t="n"/>
      <c r="AK192" s="56">
        <f>COUNTA(L192:AJ192)</f>
        <v/>
      </c>
      <c r="AL192" s="95" t="n"/>
      <c r="AM192" s="10" t="n"/>
      <c r="AN192" s="10" t="n"/>
      <c r="AO192" s="11" t="n"/>
      <c r="AP192" s="11" t="n"/>
      <c r="AQ192" s="16" t="n"/>
      <c r="AR192" s="13" t="n"/>
      <c r="AS192" s="13" t="n"/>
      <c r="AT192" s="13" t="n"/>
      <c r="AU192" s="13" t="n"/>
    </row>
    <row r="193" ht="110.1" customFormat="1" customHeight="1" s="14" thickBot="1">
      <c r="A193" s="79" t="n">
        <v>158</v>
      </c>
      <c r="B193" s="213" t="inlineStr">
        <is>
          <t xml:space="preserve">Where?
What?　
How?　
Other info? </t>
        </is>
      </c>
      <c r="C193" s="200" t="n"/>
      <c r="D193" s="200" t="n"/>
      <c r="E193" s="200" t="n"/>
      <c r="F193" s="201" t="n"/>
      <c r="G193" s="4" t="n"/>
      <c r="H193" s="4" t="n"/>
      <c r="I193" s="78">
        <f>AK193</f>
        <v/>
      </c>
      <c r="J193" s="15" t="n"/>
      <c r="K193" s="6" t="n"/>
      <c r="L193" s="7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9" t="n"/>
      <c r="AA193" s="8" t="n"/>
      <c r="AB193" s="8" t="n"/>
      <c r="AC193" s="8" t="n"/>
      <c r="AD193" s="8" t="n"/>
      <c r="AE193" s="8" t="n"/>
      <c r="AF193" s="8" t="n"/>
      <c r="AG193" s="9" t="n"/>
      <c r="AH193" s="8" t="n"/>
      <c r="AI193" s="8" t="n"/>
      <c r="AJ193" s="9" t="n"/>
      <c r="AK193" s="56">
        <f>COUNTA(L193:AJ193)</f>
        <v/>
      </c>
      <c r="AL193" s="95" t="n"/>
      <c r="AM193" s="10" t="n"/>
      <c r="AN193" s="10" t="n"/>
      <c r="AO193" s="11" t="n"/>
      <c r="AP193" s="11" t="n"/>
      <c r="AQ193" s="16" t="n"/>
      <c r="AR193" s="13" t="n"/>
      <c r="AS193" s="13" t="n"/>
      <c r="AT193" s="13" t="n"/>
      <c r="AU193" s="13" t="n"/>
    </row>
    <row r="194" ht="110.1" customFormat="1" customHeight="1" s="14" thickBot="1">
      <c r="A194" s="79" t="n">
        <v>159</v>
      </c>
      <c r="B194" s="213" t="inlineStr">
        <is>
          <t xml:space="preserve">Where?
What?　
How?　
Other info? </t>
        </is>
      </c>
      <c r="C194" s="200" t="n"/>
      <c r="D194" s="200" t="n"/>
      <c r="E194" s="200" t="n"/>
      <c r="F194" s="201" t="n"/>
      <c r="G194" s="4" t="n"/>
      <c r="H194" s="4" t="n"/>
      <c r="I194" s="78">
        <f>AK194</f>
        <v/>
      </c>
      <c r="J194" s="15" t="n"/>
      <c r="K194" s="6" t="n"/>
      <c r="L194" s="7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9" t="n"/>
      <c r="AA194" s="8" t="n"/>
      <c r="AB194" s="8" t="n"/>
      <c r="AC194" s="8" t="n"/>
      <c r="AD194" s="8" t="n"/>
      <c r="AE194" s="8" t="n"/>
      <c r="AF194" s="8" t="n"/>
      <c r="AG194" s="9" t="n"/>
      <c r="AH194" s="8" t="n"/>
      <c r="AI194" s="8" t="n"/>
      <c r="AJ194" s="9" t="n"/>
      <c r="AK194" s="56">
        <f>COUNTA(L194:AJ194)</f>
        <v/>
      </c>
      <c r="AL194" s="95" t="n"/>
      <c r="AM194" s="10" t="n"/>
      <c r="AN194" s="10" t="n"/>
      <c r="AO194" s="11" t="n"/>
      <c r="AP194" s="11" t="n"/>
      <c r="AQ194" s="16" t="n"/>
      <c r="AR194" s="13" t="n"/>
      <c r="AS194" s="13" t="n"/>
      <c r="AT194" s="13" t="n"/>
      <c r="AU194" s="13" t="n"/>
    </row>
    <row r="195" ht="110.1" customFormat="1" customHeight="1" s="14" thickBot="1">
      <c r="A195" s="79" t="n">
        <v>160</v>
      </c>
      <c r="B195" s="213" t="inlineStr">
        <is>
          <t xml:space="preserve">Where?
What?　
How?　
Other info? </t>
        </is>
      </c>
      <c r="C195" s="200" t="n"/>
      <c r="D195" s="200" t="n"/>
      <c r="E195" s="200" t="n"/>
      <c r="F195" s="201" t="n"/>
      <c r="G195" s="4" t="n"/>
      <c r="H195" s="4" t="n"/>
      <c r="I195" s="78">
        <f>AK195</f>
        <v/>
      </c>
      <c r="J195" s="15" t="n"/>
      <c r="K195" s="6" t="n"/>
      <c r="L195" s="7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9" t="n"/>
      <c r="AA195" s="8" t="n"/>
      <c r="AB195" s="8" t="n"/>
      <c r="AC195" s="8" t="n"/>
      <c r="AD195" s="8" t="n"/>
      <c r="AE195" s="8" t="n"/>
      <c r="AF195" s="8" t="n"/>
      <c r="AG195" s="9" t="n"/>
      <c r="AH195" s="8" t="n"/>
      <c r="AI195" s="8" t="n"/>
      <c r="AJ195" s="9" t="n"/>
      <c r="AK195" s="56">
        <f>COUNTA(L195:AJ195)</f>
        <v/>
      </c>
      <c r="AL195" s="95" t="n"/>
      <c r="AM195" s="10" t="n"/>
      <c r="AN195" s="10" t="n"/>
      <c r="AO195" s="11" t="n"/>
      <c r="AP195" s="11" t="n"/>
      <c r="AQ195" s="16" t="n"/>
      <c r="AR195" s="13" t="n"/>
      <c r="AS195" s="13" t="n"/>
      <c r="AT195" s="13" t="n"/>
      <c r="AU195" s="13" t="n"/>
    </row>
    <row r="196" ht="110.1" customFormat="1" customHeight="1" s="14" thickBot="1">
      <c r="A196" s="79" t="n">
        <v>161</v>
      </c>
      <c r="B196" s="213" t="inlineStr">
        <is>
          <t xml:space="preserve">Where?
What?　
How?　
Other info? </t>
        </is>
      </c>
      <c r="C196" s="200" t="n"/>
      <c r="D196" s="200" t="n"/>
      <c r="E196" s="200" t="n"/>
      <c r="F196" s="201" t="n"/>
      <c r="G196" s="4" t="n"/>
      <c r="H196" s="4" t="n"/>
      <c r="I196" s="78">
        <f>AK196</f>
        <v/>
      </c>
      <c r="J196" s="15" t="n"/>
      <c r="K196" s="6" t="n"/>
      <c r="L196" s="7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9" t="n"/>
      <c r="AA196" s="8" t="n"/>
      <c r="AB196" s="8" t="n"/>
      <c r="AC196" s="8" t="n"/>
      <c r="AD196" s="8" t="n"/>
      <c r="AE196" s="8" t="n"/>
      <c r="AF196" s="8" t="n"/>
      <c r="AG196" s="9" t="n"/>
      <c r="AH196" s="8" t="n"/>
      <c r="AI196" s="8" t="n"/>
      <c r="AJ196" s="9" t="n"/>
      <c r="AK196" s="56">
        <f>COUNTA(L196:AJ196)</f>
        <v/>
      </c>
      <c r="AL196" s="95" t="n"/>
      <c r="AM196" s="10" t="n"/>
      <c r="AN196" s="10" t="n"/>
      <c r="AO196" s="11" t="n"/>
      <c r="AP196" s="11" t="n"/>
      <c r="AQ196" s="16" t="n"/>
      <c r="AR196" s="13" t="n"/>
      <c r="AS196" s="13" t="n"/>
      <c r="AT196" s="13" t="n"/>
      <c r="AU196" s="13" t="n"/>
    </row>
    <row r="197" ht="110.1" customFormat="1" customHeight="1" s="14" thickBot="1">
      <c r="A197" s="79" t="n">
        <v>162</v>
      </c>
      <c r="B197" s="213" t="inlineStr">
        <is>
          <t xml:space="preserve">Where?
What?　
How?　
Other info? </t>
        </is>
      </c>
      <c r="C197" s="200" t="n"/>
      <c r="D197" s="200" t="n"/>
      <c r="E197" s="200" t="n"/>
      <c r="F197" s="201" t="n"/>
      <c r="G197" s="4" t="n"/>
      <c r="H197" s="4" t="n"/>
      <c r="I197" s="78">
        <f>AK197</f>
        <v/>
      </c>
      <c r="J197" s="15" t="n"/>
      <c r="K197" s="6" t="n"/>
      <c r="L197" s="7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9" t="n"/>
      <c r="AA197" s="8" t="n"/>
      <c r="AB197" s="8" t="n"/>
      <c r="AC197" s="8" t="n"/>
      <c r="AD197" s="8" t="n"/>
      <c r="AE197" s="8" t="n"/>
      <c r="AF197" s="8" t="n"/>
      <c r="AG197" s="9" t="n"/>
      <c r="AH197" s="8" t="n"/>
      <c r="AI197" s="8" t="n"/>
      <c r="AJ197" s="9" t="n"/>
      <c r="AK197" s="56">
        <f>COUNTA(L197:AJ197)</f>
        <v/>
      </c>
      <c r="AL197" s="95" t="n"/>
      <c r="AM197" s="10" t="n"/>
      <c r="AN197" s="10" t="n"/>
      <c r="AO197" s="11" t="n"/>
      <c r="AP197" s="11" t="n"/>
      <c r="AQ197" s="16" t="n"/>
      <c r="AR197" s="13" t="n"/>
      <c r="AS197" s="13" t="n"/>
      <c r="AT197" s="13" t="n"/>
      <c r="AU197" s="13" t="n"/>
    </row>
    <row r="198" ht="110.1" customFormat="1" customHeight="1" s="14" thickBot="1">
      <c r="A198" s="79" t="n">
        <v>163</v>
      </c>
      <c r="B198" s="213" t="inlineStr">
        <is>
          <t xml:space="preserve">Where?
What?　
How?　
Other info? </t>
        </is>
      </c>
      <c r="C198" s="200" t="n"/>
      <c r="D198" s="200" t="n"/>
      <c r="E198" s="200" t="n"/>
      <c r="F198" s="201" t="n"/>
      <c r="G198" s="17" t="n"/>
      <c r="H198" s="4" t="n"/>
      <c r="I198" s="78">
        <f>AK198</f>
        <v/>
      </c>
      <c r="J198" s="15" t="n"/>
      <c r="K198" s="6" t="n"/>
      <c r="L198" s="7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9" t="n"/>
      <c r="AA198" s="8" t="n"/>
      <c r="AB198" s="8" t="n"/>
      <c r="AC198" s="8" t="n"/>
      <c r="AD198" s="8" t="n"/>
      <c r="AE198" s="8" t="n"/>
      <c r="AF198" s="8" t="n"/>
      <c r="AG198" s="9" t="n"/>
      <c r="AH198" s="8" t="n"/>
      <c r="AI198" s="8" t="n"/>
      <c r="AJ198" s="9" t="n"/>
      <c r="AK198" s="56">
        <f>COUNTA(L198:AJ198)</f>
        <v/>
      </c>
      <c r="AL198" s="95" t="n"/>
      <c r="AM198" s="10" t="n"/>
      <c r="AN198" s="10" t="n"/>
      <c r="AO198" s="11" t="n"/>
      <c r="AP198" s="11" t="n"/>
      <c r="AQ198" s="16" t="n"/>
      <c r="AR198" s="13" t="n"/>
      <c r="AS198" s="13" t="n"/>
      <c r="AT198" s="13" t="n"/>
      <c r="AU198" s="13" t="n"/>
    </row>
    <row r="199" ht="110.1" customFormat="1" customHeight="1" s="14" thickBot="1">
      <c r="A199" s="79" t="n">
        <v>164</v>
      </c>
      <c r="B199" s="213" t="inlineStr">
        <is>
          <t xml:space="preserve">Where?
What?　
How?　
Other info? </t>
        </is>
      </c>
      <c r="C199" s="200" t="n"/>
      <c r="D199" s="200" t="n"/>
      <c r="E199" s="200" t="n"/>
      <c r="F199" s="201" t="n"/>
      <c r="G199" s="4" t="n"/>
      <c r="H199" s="4" t="n"/>
      <c r="I199" s="78">
        <f>AK199</f>
        <v/>
      </c>
      <c r="J199" s="18" t="n"/>
      <c r="K199" s="6" t="n"/>
      <c r="L199" s="7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9" t="n"/>
      <c r="AA199" s="8" t="n"/>
      <c r="AB199" s="8" t="n"/>
      <c r="AC199" s="8" t="n"/>
      <c r="AD199" s="8" t="n"/>
      <c r="AE199" s="8" t="n"/>
      <c r="AF199" s="8" t="n"/>
      <c r="AG199" s="9" t="n"/>
      <c r="AH199" s="8" t="n"/>
      <c r="AI199" s="8" t="n"/>
      <c r="AJ199" s="9" t="n"/>
      <c r="AK199" s="56">
        <f>COUNTA(L199:AJ199)</f>
        <v/>
      </c>
      <c r="AL199" s="95" t="n"/>
      <c r="AM199" s="10" t="n"/>
      <c r="AN199" s="10" t="n"/>
      <c r="AO199" s="11" t="n"/>
      <c r="AP199" s="11" t="n"/>
      <c r="AQ199" s="16" t="n"/>
      <c r="AR199" s="13" t="n"/>
      <c r="AS199" s="13" t="n"/>
      <c r="AT199" s="13" t="n"/>
      <c r="AU199" s="13" t="n"/>
    </row>
    <row r="200" ht="110.1" customHeight="1" s="110" thickBot="1">
      <c r="A200" s="79" t="n">
        <v>165</v>
      </c>
      <c r="B200" s="213" t="inlineStr">
        <is>
          <t xml:space="preserve">Where?
What?　
How?　
Other info? </t>
        </is>
      </c>
      <c r="C200" s="200" t="n"/>
      <c r="D200" s="200" t="n"/>
      <c r="E200" s="200" t="n"/>
      <c r="F200" s="201" t="n"/>
      <c r="G200" s="4" t="n"/>
      <c r="H200" s="4" t="n"/>
      <c r="I200" s="78">
        <f>AK200</f>
        <v/>
      </c>
      <c r="J200" s="6" t="n"/>
      <c r="K200" s="6" t="n"/>
      <c r="L200" s="7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9" t="n"/>
      <c r="AA200" s="8" t="n"/>
      <c r="AB200" s="8" t="n"/>
      <c r="AC200" s="8" t="n"/>
      <c r="AD200" s="8" t="n"/>
      <c r="AE200" s="8" t="n"/>
      <c r="AF200" s="8" t="n"/>
      <c r="AG200" s="9" t="n"/>
      <c r="AH200" s="8" t="n"/>
      <c r="AI200" s="8" t="n"/>
      <c r="AJ200" s="9" t="n"/>
      <c r="AK200" s="56">
        <f>COUNTA(L200:AJ200)</f>
        <v/>
      </c>
      <c r="AL200" s="95" t="n"/>
      <c r="AM200" s="10" t="n"/>
      <c r="AN200" s="10" t="n"/>
      <c r="AO200" s="17" t="n"/>
      <c r="AP200" s="19" t="n"/>
      <c r="AQ200" s="20" t="n"/>
      <c r="AR200" s="21" t="n"/>
      <c r="AS200" s="13" t="n"/>
      <c r="AT200" s="13" t="n"/>
      <c r="AU200" s="13" t="n"/>
    </row>
    <row r="201" ht="110.1" customHeight="1" s="110" thickBot="1">
      <c r="A201" s="79" t="n">
        <v>166</v>
      </c>
      <c r="B201" s="213" t="inlineStr">
        <is>
          <t xml:space="preserve">Where?
What?　
How?　
Other info? </t>
        </is>
      </c>
      <c r="C201" s="200" t="n"/>
      <c r="D201" s="200" t="n"/>
      <c r="E201" s="200" t="n"/>
      <c r="F201" s="201" t="n"/>
      <c r="G201" s="4" t="n"/>
      <c r="H201" s="4" t="n"/>
      <c r="I201" s="78">
        <f>AK201</f>
        <v/>
      </c>
      <c r="J201" s="6" t="n"/>
      <c r="K201" s="6" t="n"/>
      <c r="L201" s="7" t="n"/>
      <c r="M201" s="8" t="n"/>
      <c r="N201" s="8" t="n"/>
      <c r="O201" s="8" t="n"/>
      <c r="P201" s="23" t="n"/>
      <c r="Q201" s="23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9" t="n"/>
      <c r="AA201" s="8" t="n"/>
      <c r="AB201" s="8" t="n"/>
      <c r="AC201" s="8" t="n"/>
      <c r="AD201" s="8" t="n"/>
      <c r="AE201" s="8" t="n"/>
      <c r="AF201" s="8" t="n"/>
      <c r="AG201" s="9" t="n"/>
      <c r="AH201" s="8" t="n"/>
      <c r="AI201" s="8" t="n"/>
      <c r="AJ201" s="9" t="n"/>
      <c r="AK201" s="56">
        <f>COUNTA(L201:AJ201)</f>
        <v/>
      </c>
      <c r="AL201" s="95" t="n"/>
      <c r="AM201" s="10" t="n"/>
      <c r="AN201" s="10" t="n"/>
      <c r="AO201" s="17" t="n"/>
      <c r="AP201" s="19" t="n"/>
      <c r="AQ201" s="20" t="n"/>
      <c r="AR201" s="21" t="n"/>
      <c r="AS201" s="13" t="n"/>
      <c r="AT201" s="13" t="n"/>
      <c r="AU201" s="13" t="n"/>
    </row>
    <row r="202" ht="110.1" customHeight="1" s="110" thickBot="1">
      <c r="A202" s="79" t="n">
        <v>167</v>
      </c>
      <c r="B202" s="213" t="inlineStr">
        <is>
          <t xml:space="preserve">Where?
What?　
How?　
Other info? </t>
        </is>
      </c>
      <c r="C202" s="200" t="n"/>
      <c r="D202" s="200" t="n"/>
      <c r="E202" s="200" t="n"/>
      <c r="F202" s="201" t="n"/>
      <c r="G202" s="4" t="n"/>
      <c r="H202" s="4" t="n"/>
      <c r="I202" s="78">
        <f>AK202</f>
        <v/>
      </c>
      <c r="J202" s="6" t="n"/>
      <c r="K202" s="6" t="n"/>
      <c r="L202" s="7" t="n"/>
      <c r="M202" s="8" t="n"/>
      <c r="N202" s="8" t="n"/>
      <c r="O202" s="8" t="n"/>
      <c r="P202" s="23" t="n"/>
      <c r="Q202" s="23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9" t="n"/>
      <c r="AA202" s="8" t="n"/>
      <c r="AB202" s="8" t="n"/>
      <c r="AC202" s="8" t="n"/>
      <c r="AD202" s="8" t="n"/>
      <c r="AE202" s="8" t="n"/>
      <c r="AF202" s="8" t="n"/>
      <c r="AG202" s="9" t="n"/>
      <c r="AH202" s="8" t="n"/>
      <c r="AI202" s="8" t="n"/>
      <c r="AJ202" s="9" t="n"/>
      <c r="AK202" s="56">
        <f>COUNTA(L202:AJ202)</f>
        <v/>
      </c>
      <c r="AL202" s="95" t="n"/>
      <c r="AM202" s="10" t="n"/>
      <c r="AN202" s="10" t="n"/>
      <c r="AO202" s="21" t="n"/>
      <c r="AP202" s="21" t="n"/>
      <c r="AQ202" s="21" t="n"/>
      <c r="AR202" s="21" t="n"/>
      <c r="AS202" s="13" t="n"/>
      <c r="AT202" s="13" t="n"/>
      <c r="AU202" s="13" t="n"/>
    </row>
    <row r="203" ht="110.1" customHeight="1" s="110" thickBot="1">
      <c r="A203" s="79" t="n">
        <v>168</v>
      </c>
      <c r="B203" s="213" t="inlineStr">
        <is>
          <t xml:space="preserve">Where?
What?　
How?　
Other info? </t>
        </is>
      </c>
      <c r="C203" s="200" t="n"/>
      <c r="D203" s="200" t="n"/>
      <c r="E203" s="200" t="n"/>
      <c r="F203" s="201" t="n"/>
      <c r="G203" s="4" t="n"/>
      <c r="H203" s="4" t="n"/>
      <c r="I203" s="78">
        <f>AK203</f>
        <v/>
      </c>
      <c r="J203" s="6" t="n"/>
      <c r="K203" s="6" t="n"/>
      <c r="L203" s="7" t="n"/>
      <c r="M203" s="8" t="n"/>
      <c r="N203" s="8" t="n"/>
      <c r="O203" s="8" t="n"/>
      <c r="P203" s="23" t="n"/>
      <c r="Q203" s="23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9" t="n"/>
      <c r="AA203" s="8" t="n"/>
      <c r="AB203" s="8" t="n"/>
      <c r="AC203" s="8" t="n"/>
      <c r="AD203" s="8" t="n"/>
      <c r="AE203" s="8" t="n"/>
      <c r="AF203" s="8" t="n"/>
      <c r="AG203" s="9" t="n"/>
      <c r="AH203" s="8" t="n"/>
      <c r="AI203" s="8" t="n"/>
      <c r="AJ203" s="9" t="n"/>
      <c r="AK203" s="56">
        <f>COUNTA(L203:AJ203)</f>
        <v/>
      </c>
      <c r="AL203" s="95" t="n"/>
      <c r="AM203" s="10" t="n"/>
      <c r="AN203" s="10" t="n"/>
      <c r="AO203" s="21" t="n"/>
      <c r="AP203" s="21" t="n"/>
      <c r="AQ203" s="21" t="n"/>
      <c r="AR203" s="21" t="n"/>
      <c r="AS203" s="13" t="n"/>
      <c r="AT203" s="13" t="n"/>
      <c r="AU203" s="13" t="n"/>
    </row>
    <row r="204" ht="110.1" customHeight="1" s="110" thickBot="1">
      <c r="A204" s="79" t="n">
        <v>169</v>
      </c>
      <c r="B204" s="213" t="inlineStr">
        <is>
          <t xml:space="preserve">Where?
What?　
How?　
Other info? </t>
        </is>
      </c>
      <c r="C204" s="200" t="n"/>
      <c r="D204" s="200" t="n"/>
      <c r="E204" s="200" t="n"/>
      <c r="F204" s="201" t="n"/>
      <c r="G204" s="4" t="n"/>
      <c r="H204" s="4" t="n"/>
      <c r="I204" s="78">
        <f>AK204</f>
        <v/>
      </c>
      <c r="J204" s="6" t="n"/>
      <c r="K204" s="6" t="n"/>
      <c r="L204" s="7" t="n"/>
      <c r="M204" s="8" t="n"/>
      <c r="N204" s="8" t="n"/>
      <c r="O204" s="8" t="n"/>
      <c r="P204" s="23" t="n"/>
      <c r="Q204" s="23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9" t="n"/>
      <c r="AA204" s="8" t="n"/>
      <c r="AB204" s="8" t="n"/>
      <c r="AC204" s="8" t="n"/>
      <c r="AD204" s="8" t="n"/>
      <c r="AE204" s="8" t="n"/>
      <c r="AF204" s="8" t="n"/>
      <c r="AG204" s="9" t="n"/>
      <c r="AH204" s="8" t="n"/>
      <c r="AI204" s="8" t="n"/>
      <c r="AJ204" s="9" t="n"/>
      <c r="AK204" s="56">
        <f>COUNTA(L204:AJ204)</f>
        <v/>
      </c>
      <c r="AL204" s="95" t="n"/>
      <c r="AM204" s="10" t="n"/>
      <c r="AN204" s="10" t="n"/>
      <c r="AO204" s="21" t="n"/>
      <c r="AP204" s="21" t="n"/>
      <c r="AQ204" s="21" t="n"/>
      <c r="AR204" s="21" t="n"/>
      <c r="AS204" s="13" t="n"/>
      <c r="AT204" s="13" t="n"/>
      <c r="AU204" s="13" t="n"/>
    </row>
    <row r="205" ht="110.1" customHeight="1" s="110" thickBot="1">
      <c r="A205" s="79" t="n">
        <v>170</v>
      </c>
      <c r="B205" s="213" t="inlineStr">
        <is>
          <t xml:space="preserve">Where?
What?　
How?　
Other info? </t>
        </is>
      </c>
      <c r="C205" s="200" t="n"/>
      <c r="D205" s="200" t="n"/>
      <c r="E205" s="200" t="n"/>
      <c r="F205" s="201" t="n"/>
      <c r="G205" s="4" t="n"/>
      <c r="H205" s="4" t="n"/>
      <c r="I205" s="78">
        <f>AK205</f>
        <v/>
      </c>
      <c r="J205" s="6" t="n"/>
      <c r="K205" s="6" t="n"/>
      <c r="L205" s="7" t="n"/>
      <c r="M205" s="8" t="n"/>
      <c r="N205" s="8" t="n"/>
      <c r="O205" s="8" t="n"/>
      <c r="P205" s="23" t="n"/>
      <c r="Q205" s="23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9" t="n"/>
      <c r="AA205" s="8" t="n"/>
      <c r="AB205" s="8" t="n"/>
      <c r="AC205" s="8" t="n"/>
      <c r="AD205" s="8" t="n"/>
      <c r="AE205" s="8" t="n"/>
      <c r="AF205" s="8" t="n"/>
      <c r="AG205" s="9" t="n"/>
      <c r="AH205" s="8" t="n"/>
      <c r="AI205" s="8" t="n"/>
      <c r="AJ205" s="9" t="n"/>
      <c r="AK205" s="56">
        <f>COUNTA(L205:AJ205)</f>
        <v/>
      </c>
      <c r="AL205" s="95" t="n"/>
      <c r="AM205" s="10" t="n"/>
      <c r="AN205" s="10" t="n"/>
      <c r="AO205" s="21" t="n"/>
      <c r="AP205" s="21" t="n"/>
      <c r="AQ205" s="21" t="n"/>
      <c r="AR205" s="21" t="n"/>
      <c r="AS205" s="13" t="n"/>
      <c r="AT205" s="13" t="n"/>
      <c r="AU205" s="13" t="n"/>
    </row>
    <row r="206" ht="110.1" customHeight="1" s="110" thickBot="1">
      <c r="A206" s="79" t="n">
        <v>171</v>
      </c>
      <c r="B206" s="213" t="inlineStr">
        <is>
          <t xml:space="preserve">Where?
What?　
How?　
Other info? </t>
        </is>
      </c>
      <c r="C206" s="200" t="n"/>
      <c r="D206" s="200" t="n"/>
      <c r="E206" s="200" t="n"/>
      <c r="F206" s="201" t="n"/>
      <c r="G206" s="4" t="n"/>
      <c r="H206" s="4" t="n"/>
      <c r="I206" s="78">
        <f>AK206</f>
        <v/>
      </c>
      <c r="J206" s="6" t="n"/>
      <c r="K206" s="6" t="n"/>
      <c r="L206" s="7" t="n"/>
      <c r="M206" s="8" t="n"/>
      <c r="N206" s="8" t="n"/>
      <c r="O206" s="8" t="n"/>
      <c r="P206" s="23" t="n"/>
      <c r="Q206" s="23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9" t="n"/>
      <c r="AA206" s="8" t="n"/>
      <c r="AB206" s="8" t="n"/>
      <c r="AC206" s="8" t="n"/>
      <c r="AD206" s="8" t="n"/>
      <c r="AE206" s="8" t="n"/>
      <c r="AF206" s="8" t="n"/>
      <c r="AG206" s="9" t="n"/>
      <c r="AH206" s="8" t="n"/>
      <c r="AI206" s="8" t="n"/>
      <c r="AJ206" s="9" t="n"/>
      <c r="AK206" s="56">
        <f>COUNTA(L206:AJ206)</f>
        <v/>
      </c>
      <c r="AL206" s="95" t="n"/>
      <c r="AM206" s="10" t="n"/>
      <c r="AN206" s="10" t="n"/>
      <c r="AO206" s="21" t="n"/>
      <c r="AP206" s="21" t="n"/>
      <c r="AQ206" s="21" t="n"/>
      <c r="AR206" s="21" t="n"/>
      <c r="AS206" s="13" t="n"/>
      <c r="AT206" s="13" t="n"/>
      <c r="AU206" s="13" t="n"/>
    </row>
    <row r="207" ht="110.1" customHeight="1" s="110" thickBot="1">
      <c r="A207" s="79" t="n">
        <v>172</v>
      </c>
      <c r="B207" s="213" t="inlineStr">
        <is>
          <t xml:space="preserve">Where?
What?　
How?　
Other info? </t>
        </is>
      </c>
      <c r="C207" s="200" t="n"/>
      <c r="D207" s="200" t="n"/>
      <c r="E207" s="200" t="n"/>
      <c r="F207" s="201" t="n"/>
      <c r="G207" s="4" t="n"/>
      <c r="H207" s="4" t="n"/>
      <c r="I207" s="78">
        <f>AK207</f>
        <v/>
      </c>
      <c r="J207" s="6" t="n"/>
      <c r="K207" s="6" t="n"/>
      <c r="L207" s="7" t="n"/>
      <c r="M207" s="8" t="n"/>
      <c r="N207" s="8" t="n"/>
      <c r="O207" s="8" t="n"/>
      <c r="P207" s="23" t="n"/>
      <c r="Q207" s="23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9" t="n"/>
      <c r="AA207" s="8" t="n"/>
      <c r="AB207" s="8" t="n"/>
      <c r="AC207" s="8" t="n"/>
      <c r="AD207" s="8" t="n"/>
      <c r="AE207" s="8" t="n"/>
      <c r="AF207" s="8" t="n"/>
      <c r="AG207" s="9" t="n"/>
      <c r="AH207" s="8" t="n"/>
      <c r="AI207" s="8" t="n"/>
      <c r="AJ207" s="9" t="n"/>
      <c r="AK207" s="56">
        <f>COUNTA(L207:AJ207)</f>
        <v/>
      </c>
      <c r="AL207" s="95" t="n"/>
      <c r="AM207" s="10" t="n"/>
      <c r="AN207" s="10" t="n"/>
      <c r="AO207" s="21" t="n"/>
      <c r="AP207" s="21" t="n"/>
      <c r="AQ207" s="21" t="n"/>
      <c r="AR207" s="21" t="n"/>
      <c r="AS207" s="13" t="n"/>
      <c r="AT207" s="13" t="n"/>
      <c r="AU207" s="13" t="n"/>
    </row>
    <row r="208" ht="110.1" customHeight="1" s="110" thickBot="1">
      <c r="A208" s="79" t="n">
        <v>173</v>
      </c>
      <c r="B208" s="213" t="inlineStr">
        <is>
          <t xml:space="preserve">Where?
What?　
How?　
Other info? </t>
        </is>
      </c>
      <c r="C208" s="200" t="n"/>
      <c r="D208" s="200" t="n"/>
      <c r="E208" s="200" t="n"/>
      <c r="F208" s="201" t="n"/>
      <c r="G208" s="4" t="n"/>
      <c r="H208" s="4" t="n"/>
      <c r="I208" s="78">
        <f>AK208</f>
        <v/>
      </c>
      <c r="J208" s="6" t="n"/>
      <c r="K208" s="6" t="n"/>
      <c r="L208" s="7" t="n"/>
      <c r="M208" s="8" t="n"/>
      <c r="N208" s="8" t="n"/>
      <c r="O208" s="8" t="n"/>
      <c r="P208" s="23" t="n"/>
      <c r="Q208" s="23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9" t="n"/>
      <c r="AA208" s="8" t="n"/>
      <c r="AB208" s="8" t="n"/>
      <c r="AC208" s="8" t="n"/>
      <c r="AD208" s="8" t="n"/>
      <c r="AE208" s="8" t="n"/>
      <c r="AF208" s="8" t="n"/>
      <c r="AG208" s="9" t="n"/>
      <c r="AH208" s="8" t="n"/>
      <c r="AI208" s="8" t="n"/>
      <c r="AJ208" s="9" t="n"/>
      <c r="AK208" s="56">
        <f>COUNTA(L208:AJ208)</f>
        <v/>
      </c>
      <c r="AL208" s="95" t="n"/>
      <c r="AM208" s="10" t="n"/>
      <c r="AN208" s="10" t="n"/>
      <c r="AO208" s="21" t="n"/>
      <c r="AP208" s="21" t="n"/>
      <c r="AQ208" s="21" t="n"/>
      <c r="AR208" s="21" t="n"/>
      <c r="AS208" s="13" t="n"/>
      <c r="AT208" s="13" t="n"/>
      <c r="AU208" s="13" t="n"/>
    </row>
    <row r="209" ht="110.1" customHeight="1" s="110" thickBot="1">
      <c r="A209" s="79" t="n">
        <v>174</v>
      </c>
      <c r="B209" s="213" t="inlineStr">
        <is>
          <t xml:space="preserve">Where?
What?　
How?　
Other info? </t>
        </is>
      </c>
      <c r="C209" s="200" t="n"/>
      <c r="D209" s="200" t="n"/>
      <c r="E209" s="200" t="n"/>
      <c r="F209" s="201" t="n"/>
      <c r="G209" s="4" t="n"/>
      <c r="H209" s="4" t="n"/>
      <c r="I209" s="78">
        <f>AK209</f>
        <v/>
      </c>
      <c r="J209" s="6" t="n"/>
      <c r="K209" s="6" t="n"/>
      <c r="L209" s="7" t="n"/>
      <c r="M209" s="8" t="n"/>
      <c r="N209" s="8" t="n"/>
      <c r="O209" s="8" t="n"/>
      <c r="P209" s="23" t="n"/>
      <c r="Q209" s="23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9" t="n"/>
      <c r="AA209" s="8" t="n"/>
      <c r="AB209" s="8" t="n"/>
      <c r="AC209" s="8" t="n"/>
      <c r="AD209" s="8" t="n"/>
      <c r="AE209" s="8" t="n"/>
      <c r="AF209" s="8" t="n"/>
      <c r="AG209" s="9" t="n"/>
      <c r="AH209" s="8" t="n"/>
      <c r="AI209" s="8" t="n"/>
      <c r="AJ209" s="9" t="n"/>
      <c r="AK209" s="56">
        <f>COUNTA(L209:AJ209)</f>
        <v/>
      </c>
      <c r="AL209" s="95" t="n"/>
      <c r="AM209" s="10" t="n"/>
      <c r="AN209" s="10" t="n"/>
      <c r="AO209" s="21" t="n"/>
      <c r="AP209" s="21" t="n"/>
      <c r="AQ209" s="21" t="n"/>
      <c r="AR209" s="21" t="n"/>
      <c r="AS209" s="13" t="n"/>
      <c r="AT209" s="13" t="n"/>
      <c r="AU209" s="13" t="n"/>
    </row>
    <row r="210" ht="110.1" customHeight="1" s="110" thickBot="1">
      <c r="A210" s="79" t="n">
        <v>175</v>
      </c>
      <c r="B210" s="213" t="inlineStr">
        <is>
          <t xml:space="preserve">Where?
What?　
How?　
Other info? </t>
        </is>
      </c>
      <c r="C210" s="200" t="n"/>
      <c r="D210" s="200" t="n"/>
      <c r="E210" s="200" t="n"/>
      <c r="F210" s="201" t="n"/>
      <c r="G210" s="4" t="n"/>
      <c r="H210" s="4" t="n"/>
      <c r="I210" s="78">
        <f>AK210</f>
        <v/>
      </c>
      <c r="J210" s="6" t="n"/>
      <c r="K210" s="6" t="n"/>
      <c r="L210" s="7" t="n"/>
      <c r="M210" s="8" t="n"/>
      <c r="N210" s="8" t="n"/>
      <c r="O210" s="8" t="n"/>
      <c r="P210" s="23" t="n"/>
      <c r="Q210" s="23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9" t="n"/>
      <c r="AA210" s="8" t="n"/>
      <c r="AB210" s="8" t="n"/>
      <c r="AC210" s="8" t="n"/>
      <c r="AD210" s="8" t="n"/>
      <c r="AE210" s="8" t="n"/>
      <c r="AF210" s="8" t="n"/>
      <c r="AG210" s="9" t="n"/>
      <c r="AH210" s="8" t="n"/>
      <c r="AI210" s="8" t="n"/>
      <c r="AJ210" s="9" t="n"/>
      <c r="AK210" s="56">
        <f>COUNTA(L210:AJ210)</f>
        <v/>
      </c>
      <c r="AL210" s="95" t="n"/>
      <c r="AM210" s="10" t="n"/>
      <c r="AN210" s="10" t="n"/>
      <c r="AO210" s="21" t="n"/>
      <c r="AP210" s="21" t="n"/>
      <c r="AQ210" s="21" t="n"/>
      <c r="AR210" s="21" t="n"/>
      <c r="AS210" s="13" t="n"/>
      <c r="AT210" s="13" t="n"/>
      <c r="AU210" s="13" t="n"/>
    </row>
    <row r="211" ht="110.1" customFormat="1" customHeight="1" s="14" thickBot="1">
      <c r="A211" s="79" t="n">
        <v>176</v>
      </c>
      <c r="B211" s="213" t="inlineStr">
        <is>
          <t xml:space="preserve">Where?
What?　
How?　
Other info? </t>
        </is>
      </c>
      <c r="C211" s="200" t="n"/>
      <c r="D211" s="200" t="n"/>
      <c r="E211" s="200" t="n"/>
      <c r="F211" s="201" t="n"/>
      <c r="G211" s="4" t="n"/>
      <c r="H211" s="4" t="n"/>
      <c r="I211" s="78">
        <f>AK211</f>
        <v/>
      </c>
      <c r="J211" s="15" t="n"/>
      <c r="K211" s="6" t="n"/>
      <c r="L211" s="7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9" t="n"/>
      <c r="AA211" s="8" t="n"/>
      <c r="AB211" s="8" t="n"/>
      <c r="AC211" s="8" t="n"/>
      <c r="AD211" s="8" t="n"/>
      <c r="AE211" s="8" t="n"/>
      <c r="AF211" s="8" t="n"/>
      <c r="AG211" s="9" t="n"/>
      <c r="AH211" s="8" t="n"/>
      <c r="AI211" s="8" t="n"/>
      <c r="AJ211" s="9" t="n"/>
      <c r="AK211" s="56">
        <f>COUNTA(L211:AJ211)</f>
        <v/>
      </c>
      <c r="AL211" s="95" t="n"/>
      <c r="AM211" s="10" t="n"/>
      <c r="AN211" s="10" t="n"/>
      <c r="AO211" s="11" t="n"/>
      <c r="AP211" s="11" t="n"/>
      <c r="AQ211" s="16" t="n"/>
      <c r="AR211" s="13" t="n"/>
      <c r="AS211" s="13" t="n"/>
      <c r="AT211" s="13" t="n"/>
      <c r="AU211" s="13" t="n"/>
    </row>
    <row r="212" ht="110.1" customFormat="1" customHeight="1" s="14" thickBot="1">
      <c r="A212" s="79" t="n">
        <v>177</v>
      </c>
      <c r="B212" s="213" t="inlineStr">
        <is>
          <t xml:space="preserve">Where?
What?　
How?　
Other info? </t>
        </is>
      </c>
      <c r="C212" s="200" t="n"/>
      <c r="D212" s="200" t="n"/>
      <c r="E212" s="200" t="n"/>
      <c r="F212" s="201" t="n"/>
      <c r="G212" s="4" t="n"/>
      <c r="H212" s="4" t="n"/>
      <c r="I212" s="78">
        <f>AK212</f>
        <v/>
      </c>
      <c r="J212" s="15" t="n"/>
      <c r="K212" s="6" t="n"/>
      <c r="L212" s="7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9" t="n"/>
      <c r="AA212" s="8" t="n"/>
      <c r="AB212" s="8" t="n"/>
      <c r="AC212" s="8" t="n"/>
      <c r="AD212" s="8" t="n"/>
      <c r="AE212" s="8" t="n"/>
      <c r="AF212" s="8" t="n"/>
      <c r="AG212" s="9" t="n"/>
      <c r="AH212" s="8" t="n"/>
      <c r="AI212" s="8" t="n"/>
      <c r="AJ212" s="9" t="n"/>
      <c r="AK212" s="56">
        <f>COUNTA(L212:AJ212)</f>
        <v/>
      </c>
      <c r="AL212" s="95" t="n"/>
      <c r="AM212" s="10" t="n"/>
      <c r="AN212" s="10" t="n"/>
      <c r="AO212" s="11" t="n"/>
      <c r="AP212" s="11" t="n"/>
      <c r="AQ212" s="16" t="n"/>
      <c r="AR212" s="13" t="n"/>
      <c r="AS212" s="13" t="n"/>
      <c r="AT212" s="13" t="n"/>
      <c r="AU212" s="13" t="n"/>
    </row>
    <row r="213" ht="110.1" customFormat="1" customHeight="1" s="14" thickBot="1">
      <c r="A213" s="79" t="n">
        <v>178</v>
      </c>
      <c r="B213" s="213" t="inlineStr">
        <is>
          <t xml:space="preserve">Where?
What?　
How?　
Other info? </t>
        </is>
      </c>
      <c r="C213" s="200" t="n"/>
      <c r="D213" s="200" t="n"/>
      <c r="E213" s="200" t="n"/>
      <c r="F213" s="201" t="n"/>
      <c r="G213" s="4" t="n"/>
      <c r="H213" s="4" t="n"/>
      <c r="I213" s="78">
        <f>AK213</f>
        <v/>
      </c>
      <c r="J213" s="15" t="n"/>
      <c r="K213" s="6" t="n"/>
      <c r="L213" s="7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9" t="n"/>
      <c r="AA213" s="8" t="n"/>
      <c r="AB213" s="8" t="n"/>
      <c r="AC213" s="8" t="n"/>
      <c r="AD213" s="8" t="n"/>
      <c r="AE213" s="8" t="n"/>
      <c r="AF213" s="8" t="n"/>
      <c r="AG213" s="9" t="n"/>
      <c r="AH213" s="8" t="n"/>
      <c r="AI213" s="8" t="n"/>
      <c r="AJ213" s="9" t="n"/>
      <c r="AK213" s="56">
        <f>COUNTA(L213:AJ213)</f>
        <v/>
      </c>
      <c r="AL213" s="95" t="n"/>
      <c r="AM213" s="10" t="n"/>
      <c r="AN213" s="10" t="n"/>
      <c r="AO213" s="11" t="n"/>
      <c r="AP213" s="11" t="n"/>
      <c r="AQ213" s="16" t="n"/>
      <c r="AR213" s="13" t="n"/>
      <c r="AS213" s="13" t="n"/>
      <c r="AT213" s="13" t="n"/>
      <c r="AU213" s="13" t="n"/>
    </row>
    <row r="214" ht="110.1" customFormat="1" customHeight="1" s="14" thickBot="1">
      <c r="A214" s="79" t="n">
        <v>179</v>
      </c>
      <c r="B214" s="213" t="inlineStr">
        <is>
          <t xml:space="preserve">Where?
What?　
How?　
Other info? </t>
        </is>
      </c>
      <c r="C214" s="200" t="n"/>
      <c r="D214" s="200" t="n"/>
      <c r="E214" s="200" t="n"/>
      <c r="F214" s="201" t="n"/>
      <c r="G214" s="4" t="n"/>
      <c r="H214" s="4" t="n"/>
      <c r="I214" s="78">
        <f>AK214</f>
        <v/>
      </c>
      <c r="J214" s="15" t="n"/>
      <c r="K214" s="6" t="n"/>
      <c r="L214" s="7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9" t="n"/>
      <c r="AA214" s="8" t="n"/>
      <c r="AB214" s="8" t="n"/>
      <c r="AC214" s="8" t="n"/>
      <c r="AD214" s="8" t="n"/>
      <c r="AE214" s="8" t="n"/>
      <c r="AF214" s="8" t="n"/>
      <c r="AG214" s="9" t="n"/>
      <c r="AH214" s="8" t="n"/>
      <c r="AI214" s="8" t="n"/>
      <c r="AJ214" s="9" t="n"/>
      <c r="AK214" s="56">
        <f>COUNTA(L214:AJ214)</f>
        <v/>
      </c>
      <c r="AL214" s="95" t="n"/>
      <c r="AM214" s="10" t="n"/>
      <c r="AN214" s="10" t="n"/>
      <c r="AO214" s="11" t="n"/>
      <c r="AP214" s="11" t="n"/>
      <c r="AQ214" s="16" t="n"/>
      <c r="AR214" s="13" t="n"/>
      <c r="AS214" s="13" t="n"/>
      <c r="AT214" s="13" t="n"/>
      <c r="AU214" s="13" t="n"/>
    </row>
    <row r="215" ht="110.1" customFormat="1" customHeight="1" s="14" thickBot="1">
      <c r="A215" s="79" t="n">
        <v>180</v>
      </c>
      <c r="B215" s="213" t="inlineStr">
        <is>
          <t xml:space="preserve">Where?
What?　
How?　
Other info? </t>
        </is>
      </c>
      <c r="C215" s="200" t="n"/>
      <c r="D215" s="200" t="n"/>
      <c r="E215" s="200" t="n"/>
      <c r="F215" s="201" t="n"/>
      <c r="G215" s="4" t="n"/>
      <c r="H215" s="4" t="n"/>
      <c r="I215" s="78">
        <f>AK215</f>
        <v/>
      </c>
      <c r="J215" s="15" t="n"/>
      <c r="K215" s="6" t="n"/>
      <c r="L215" s="7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9" t="n"/>
      <c r="AA215" s="8" t="n"/>
      <c r="AB215" s="8" t="n"/>
      <c r="AC215" s="8" t="n"/>
      <c r="AD215" s="8" t="n"/>
      <c r="AE215" s="8" t="n"/>
      <c r="AF215" s="8" t="n"/>
      <c r="AG215" s="9" t="n"/>
      <c r="AH215" s="8" t="n"/>
      <c r="AI215" s="8" t="n"/>
      <c r="AJ215" s="9" t="n"/>
      <c r="AK215" s="56">
        <f>COUNTA(L215:AJ215)</f>
        <v/>
      </c>
      <c r="AL215" s="95" t="n"/>
      <c r="AM215" s="10" t="n"/>
      <c r="AN215" s="10" t="n"/>
      <c r="AO215" s="11" t="n"/>
      <c r="AP215" s="11" t="n"/>
      <c r="AQ215" s="16" t="n"/>
      <c r="AR215" s="13" t="n"/>
      <c r="AS215" s="13" t="n"/>
      <c r="AT215" s="13" t="n"/>
      <c r="AU215" s="13" t="n"/>
    </row>
    <row r="216" ht="110.1" customFormat="1" customHeight="1" s="14" thickBot="1">
      <c r="A216" s="79" t="n">
        <v>181</v>
      </c>
      <c r="B216" s="213" t="inlineStr">
        <is>
          <t xml:space="preserve">Where?
What?　
How?　
Other info? </t>
        </is>
      </c>
      <c r="C216" s="200" t="n"/>
      <c r="D216" s="200" t="n"/>
      <c r="E216" s="200" t="n"/>
      <c r="F216" s="201" t="n"/>
      <c r="G216" s="4" t="n"/>
      <c r="H216" s="4" t="n"/>
      <c r="I216" s="78">
        <f>AK216</f>
        <v/>
      </c>
      <c r="J216" s="15" t="n"/>
      <c r="K216" s="6" t="n"/>
      <c r="L216" s="7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9" t="n"/>
      <c r="AA216" s="8" t="n"/>
      <c r="AB216" s="8" t="n"/>
      <c r="AC216" s="8" t="n"/>
      <c r="AD216" s="8" t="n"/>
      <c r="AE216" s="8" t="n"/>
      <c r="AF216" s="8" t="n"/>
      <c r="AG216" s="9" t="n"/>
      <c r="AH216" s="8" t="n"/>
      <c r="AI216" s="8" t="n"/>
      <c r="AJ216" s="9" t="n"/>
      <c r="AK216" s="56">
        <f>COUNTA(L216:AJ216)</f>
        <v/>
      </c>
      <c r="AL216" s="95" t="n"/>
      <c r="AM216" s="10" t="n"/>
      <c r="AN216" s="10" t="n"/>
      <c r="AO216" s="11" t="n"/>
      <c r="AP216" s="11" t="n"/>
      <c r="AQ216" s="16" t="n"/>
      <c r="AR216" s="13" t="n"/>
      <c r="AS216" s="13" t="n"/>
      <c r="AT216" s="13" t="n"/>
      <c r="AU216" s="13" t="n"/>
    </row>
    <row r="217" ht="110.1" customFormat="1" customHeight="1" s="14" thickBot="1">
      <c r="A217" s="79" t="n">
        <v>182</v>
      </c>
      <c r="B217" s="213" t="inlineStr">
        <is>
          <t xml:space="preserve">Where?
What?　
How?　
Other info? </t>
        </is>
      </c>
      <c r="C217" s="200" t="n"/>
      <c r="D217" s="200" t="n"/>
      <c r="E217" s="200" t="n"/>
      <c r="F217" s="201" t="n"/>
      <c r="G217" s="4" t="n"/>
      <c r="H217" s="4" t="n"/>
      <c r="I217" s="78">
        <f>AK217</f>
        <v/>
      </c>
      <c r="J217" s="15" t="n"/>
      <c r="K217" s="6" t="n"/>
      <c r="L217" s="7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9" t="n"/>
      <c r="AA217" s="8" t="n"/>
      <c r="AB217" s="8" t="n"/>
      <c r="AC217" s="8" t="n"/>
      <c r="AD217" s="8" t="n"/>
      <c r="AE217" s="8" t="n"/>
      <c r="AF217" s="8" t="n"/>
      <c r="AG217" s="9" t="n"/>
      <c r="AH217" s="8" t="n"/>
      <c r="AI217" s="8" t="n"/>
      <c r="AJ217" s="9" t="n"/>
      <c r="AK217" s="56">
        <f>COUNTA(L217:AJ217)</f>
        <v/>
      </c>
      <c r="AL217" s="95" t="n"/>
      <c r="AM217" s="10" t="n"/>
      <c r="AN217" s="10" t="n"/>
      <c r="AO217" s="11" t="n"/>
      <c r="AP217" s="11" t="n"/>
      <c r="AQ217" s="16" t="n"/>
      <c r="AR217" s="13" t="n"/>
      <c r="AS217" s="13" t="n"/>
      <c r="AT217" s="13" t="n"/>
      <c r="AU217" s="13" t="n"/>
    </row>
    <row r="218" ht="110.1" customFormat="1" customHeight="1" s="14" thickBot="1">
      <c r="A218" s="79" t="n">
        <v>183</v>
      </c>
      <c r="B218" s="213" t="inlineStr">
        <is>
          <t xml:space="preserve">Where?
What?　
How?　
Other info? </t>
        </is>
      </c>
      <c r="C218" s="200" t="n"/>
      <c r="D218" s="200" t="n"/>
      <c r="E218" s="200" t="n"/>
      <c r="F218" s="201" t="n"/>
      <c r="G218" s="4" t="n"/>
      <c r="H218" s="4" t="n"/>
      <c r="I218" s="78">
        <f>AK218</f>
        <v/>
      </c>
      <c r="J218" s="15" t="n"/>
      <c r="K218" s="6" t="n"/>
      <c r="L218" s="7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9" t="n"/>
      <c r="AA218" s="8" t="n"/>
      <c r="AB218" s="8" t="n"/>
      <c r="AC218" s="8" t="n"/>
      <c r="AD218" s="8" t="n"/>
      <c r="AE218" s="8" t="n"/>
      <c r="AF218" s="8" t="n"/>
      <c r="AG218" s="9" t="n"/>
      <c r="AH218" s="8" t="n"/>
      <c r="AI218" s="8" t="n"/>
      <c r="AJ218" s="9" t="n"/>
      <c r="AK218" s="56">
        <f>COUNTA(L218:AJ218)</f>
        <v/>
      </c>
      <c r="AL218" s="95" t="n"/>
      <c r="AM218" s="10" t="n"/>
      <c r="AN218" s="10" t="n"/>
      <c r="AO218" s="11" t="n"/>
      <c r="AP218" s="11" t="n"/>
      <c r="AQ218" s="16" t="n"/>
      <c r="AR218" s="13" t="n"/>
      <c r="AS218" s="13" t="n"/>
      <c r="AT218" s="13" t="n"/>
      <c r="AU218" s="13" t="n"/>
    </row>
    <row r="219" ht="110.1" customFormat="1" customHeight="1" s="14" thickBot="1">
      <c r="A219" s="79" t="n">
        <v>184</v>
      </c>
      <c r="B219" s="213" t="inlineStr">
        <is>
          <t xml:space="preserve">Where?
What?　
How?　
Other info? </t>
        </is>
      </c>
      <c r="C219" s="200" t="n"/>
      <c r="D219" s="200" t="n"/>
      <c r="E219" s="200" t="n"/>
      <c r="F219" s="201" t="n"/>
      <c r="G219" s="4" t="n"/>
      <c r="H219" s="4" t="n"/>
      <c r="I219" s="78">
        <f>AK219</f>
        <v/>
      </c>
      <c r="J219" s="15" t="n"/>
      <c r="K219" s="6" t="n"/>
      <c r="L219" s="7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9" t="n"/>
      <c r="AA219" s="8" t="n"/>
      <c r="AB219" s="8" t="n"/>
      <c r="AC219" s="8" t="n"/>
      <c r="AD219" s="8" t="n"/>
      <c r="AE219" s="8" t="n"/>
      <c r="AF219" s="8" t="n"/>
      <c r="AG219" s="9" t="n"/>
      <c r="AH219" s="8" t="n"/>
      <c r="AI219" s="8" t="n"/>
      <c r="AJ219" s="9" t="n"/>
      <c r="AK219" s="56">
        <f>COUNTA(L219:AJ219)</f>
        <v/>
      </c>
      <c r="AL219" s="95" t="n"/>
      <c r="AM219" s="10" t="n"/>
      <c r="AN219" s="10" t="n"/>
      <c r="AO219" s="11" t="n"/>
      <c r="AP219" s="11" t="n"/>
      <c r="AQ219" s="16" t="n"/>
      <c r="AR219" s="13" t="n"/>
      <c r="AS219" s="13" t="n"/>
      <c r="AT219" s="13" t="n"/>
      <c r="AU219" s="13" t="n"/>
    </row>
    <row r="220" ht="110.1" customFormat="1" customHeight="1" s="14" thickBot="1">
      <c r="A220" s="79" t="n">
        <v>185</v>
      </c>
      <c r="B220" s="213" t="inlineStr">
        <is>
          <t xml:space="preserve">Where?
What?　
How?　
Other info? </t>
        </is>
      </c>
      <c r="C220" s="200" t="n"/>
      <c r="D220" s="200" t="n"/>
      <c r="E220" s="200" t="n"/>
      <c r="F220" s="201" t="n"/>
      <c r="G220" s="17" t="n"/>
      <c r="H220" s="4" t="n"/>
      <c r="I220" s="78">
        <f>AK220</f>
        <v/>
      </c>
      <c r="J220" s="15" t="n"/>
      <c r="K220" s="6" t="n"/>
      <c r="L220" s="7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9" t="n"/>
      <c r="AA220" s="8" t="n"/>
      <c r="AB220" s="8" t="n"/>
      <c r="AC220" s="8" t="n"/>
      <c r="AD220" s="8" t="n"/>
      <c r="AE220" s="8" t="n"/>
      <c r="AF220" s="8" t="n"/>
      <c r="AG220" s="9" t="n"/>
      <c r="AH220" s="8" t="n"/>
      <c r="AI220" s="8" t="n"/>
      <c r="AJ220" s="9" t="n"/>
      <c r="AK220" s="56">
        <f>COUNTA(L220:AJ220)</f>
        <v/>
      </c>
      <c r="AL220" s="95" t="n"/>
      <c r="AM220" s="10" t="n"/>
      <c r="AN220" s="10" t="n"/>
      <c r="AO220" s="11" t="n"/>
      <c r="AP220" s="11" t="n"/>
      <c r="AQ220" s="16" t="n"/>
      <c r="AR220" s="13" t="n"/>
      <c r="AS220" s="13" t="n"/>
      <c r="AT220" s="13" t="n"/>
      <c r="AU220" s="13" t="n"/>
    </row>
    <row r="221" ht="110.1" customHeight="1" s="110" thickBot="1">
      <c r="A221" s="79" t="n">
        <v>186</v>
      </c>
      <c r="B221" s="213" t="inlineStr">
        <is>
          <t xml:space="preserve">Where?
What?　
How?　
Other info? </t>
        </is>
      </c>
      <c r="C221" s="200" t="n"/>
      <c r="D221" s="200" t="n"/>
      <c r="E221" s="200" t="n"/>
      <c r="F221" s="201" t="n"/>
      <c r="G221" s="4" t="n"/>
      <c r="H221" s="4" t="n"/>
      <c r="I221" s="78">
        <f>AK221</f>
        <v/>
      </c>
      <c r="J221" s="6" t="n"/>
      <c r="K221" s="6" t="n"/>
      <c r="L221" s="7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9" t="n"/>
      <c r="AA221" s="8" t="n"/>
      <c r="AB221" s="8" t="n"/>
      <c r="AC221" s="8" t="n"/>
      <c r="AD221" s="8" t="n"/>
      <c r="AE221" s="8" t="n"/>
      <c r="AF221" s="8" t="n"/>
      <c r="AG221" s="9" t="n"/>
      <c r="AH221" s="8" t="n"/>
      <c r="AI221" s="8" t="n"/>
      <c r="AJ221" s="9" t="n"/>
      <c r="AK221" s="56">
        <f>COUNTA(L221:AJ221)</f>
        <v/>
      </c>
      <c r="AL221" s="95" t="n"/>
      <c r="AM221" s="10" t="n"/>
      <c r="AN221" s="10" t="n"/>
      <c r="AO221" s="17" t="n"/>
      <c r="AP221" s="19" t="n"/>
      <c r="AQ221" s="20" t="n"/>
      <c r="AR221" s="21" t="n"/>
      <c r="AS221" s="13" t="n"/>
      <c r="AT221" s="13" t="n"/>
      <c r="AU221" s="13" t="n"/>
    </row>
    <row r="222" ht="110.1" customHeight="1" s="110" thickBot="1">
      <c r="A222" s="79" t="n">
        <v>187</v>
      </c>
      <c r="B222" s="213" t="inlineStr">
        <is>
          <t xml:space="preserve">Where?
What?　
How?　
Other info? </t>
        </is>
      </c>
      <c r="C222" s="200" t="n"/>
      <c r="D222" s="200" t="n"/>
      <c r="E222" s="200" t="n"/>
      <c r="F222" s="201" t="n"/>
      <c r="G222" s="4" t="n"/>
      <c r="H222" s="4" t="n"/>
      <c r="I222" s="78">
        <f>AK222</f>
        <v/>
      </c>
      <c r="J222" s="6" t="n"/>
      <c r="K222" s="6" t="n"/>
      <c r="L222" s="7" t="n"/>
      <c r="M222" s="8" t="n"/>
      <c r="N222" s="8" t="n"/>
      <c r="O222" s="8" t="n"/>
      <c r="P222" s="23" t="n"/>
      <c r="Q222" s="23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9" t="n"/>
      <c r="AA222" s="8" t="n"/>
      <c r="AB222" s="8" t="n"/>
      <c r="AC222" s="8" t="n"/>
      <c r="AD222" s="8" t="n"/>
      <c r="AE222" s="8" t="n"/>
      <c r="AF222" s="8" t="n"/>
      <c r="AG222" s="9" t="n"/>
      <c r="AH222" s="8" t="n"/>
      <c r="AI222" s="8" t="n"/>
      <c r="AJ222" s="9" t="n"/>
      <c r="AK222" s="56">
        <f>COUNTA(L222:AJ222)</f>
        <v/>
      </c>
      <c r="AL222" s="95" t="n"/>
      <c r="AM222" s="10" t="n"/>
      <c r="AN222" s="10" t="n"/>
      <c r="AO222" s="17" t="n"/>
      <c r="AP222" s="19" t="n"/>
      <c r="AQ222" s="20" t="n"/>
      <c r="AR222" s="21" t="n"/>
      <c r="AS222" s="13" t="n"/>
      <c r="AT222" s="13" t="n"/>
      <c r="AU222" s="13" t="n"/>
    </row>
    <row r="223" ht="110.1" customHeight="1" s="110" thickBot="1">
      <c r="A223" s="79" t="n">
        <v>188</v>
      </c>
      <c r="B223" s="213" t="inlineStr">
        <is>
          <t xml:space="preserve">Where?
What?　
How?　
Other info? </t>
        </is>
      </c>
      <c r="C223" s="200" t="n"/>
      <c r="D223" s="200" t="n"/>
      <c r="E223" s="200" t="n"/>
      <c r="F223" s="201" t="n"/>
      <c r="G223" s="4" t="n"/>
      <c r="H223" s="4" t="n"/>
      <c r="I223" s="78">
        <f>AK223</f>
        <v/>
      </c>
      <c r="J223" s="6" t="n"/>
      <c r="K223" s="6" t="n"/>
      <c r="L223" s="7" t="n"/>
      <c r="M223" s="8" t="n"/>
      <c r="N223" s="8" t="n"/>
      <c r="O223" s="8" t="n"/>
      <c r="P223" s="23" t="n"/>
      <c r="Q223" s="23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9" t="n"/>
      <c r="AA223" s="8" t="n"/>
      <c r="AB223" s="8" t="n"/>
      <c r="AC223" s="8" t="n"/>
      <c r="AD223" s="8" t="n"/>
      <c r="AE223" s="8" t="n"/>
      <c r="AF223" s="8" t="n"/>
      <c r="AG223" s="9" t="n"/>
      <c r="AH223" s="8" t="n"/>
      <c r="AI223" s="8" t="n"/>
      <c r="AJ223" s="9" t="n"/>
      <c r="AK223" s="56">
        <f>COUNTA(L223:AJ223)</f>
        <v/>
      </c>
      <c r="AL223" s="95" t="n"/>
      <c r="AM223" s="10" t="n"/>
      <c r="AN223" s="10" t="n"/>
      <c r="AO223" s="21" t="n"/>
      <c r="AP223" s="21" t="n"/>
      <c r="AQ223" s="21" t="n"/>
      <c r="AR223" s="21" t="n"/>
      <c r="AS223" s="13" t="n"/>
      <c r="AT223" s="13" t="n"/>
      <c r="AU223" s="13" t="n"/>
    </row>
    <row r="224" ht="110.1" customHeight="1" s="110" thickBot="1">
      <c r="A224" s="79" t="n">
        <v>189</v>
      </c>
      <c r="B224" s="213" t="inlineStr">
        <is>
          <t xml:space="preserve">Where?
What?　
How?　
Other info? </t>
        </is>
      </c>
      <c r="C224" s="200" t="n"/>
      <c r="D224" s="200" t="n"/>
      <c r="E224" s="200" t="n"/>
      <c r="F224" s="201" t="n"/>
      <c r="G224" s="4" t="n"/>
      <c r="H224" s="4" t="n"/>
      <c r="I224" s="78">
        <f>AK224</f>
        <v/>
      </c>
      <c r="J224" s="6" t="n"/>
      <c r="K224" s="6" t="n"/>
      <c r="L224" s="7" t="n"/>
      <c r="M224" s="8" t="n"/>
      <c r="N224" s="8" t="n"/>
      <c r="O224" s="8" t="n"/>
      <c r="P224" s="23" t="n"/>
      <c r="Q224" s="23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9" t="n"/>
      <c r="AA224" s="8" t="n"/>
      <c r="AB224" s="8" t="n"/>
      <c r="AC224" s="8" t="n"/>
      <c r="AD224" s="8" t="n"/>
      <c r="AE224" s="8" t="n"/>
      <c r="AF224" s="8" t="n"/>
      <c r="AG224" s="9" t="n"/>
      <c r="AH224" s="8" t="n"/>
      <c r="AI224" s="8" t="n"/>
      <c r="AJ224" s="9" t="n"/>
      <c r="AK224" s="56">
        <f>COUNTA(L224:AJ224)</f>
        <v/>
      </c>
      <c r="AL224" s="95" t="n"/>
      <c r="AM224" s="10" t="n"/>
      <c r="AN224" s="10" t="n"/>
      <c r="AO224" s="21" t="n"/>
      <c r="AP224" s="21" t="n"/>
      <c r="AQ224" s="21" t="n"/>
      <c r="AR224" s="21" t="n"/>
      <c r="AS224" s="13" t="n"/>
      <c r="AT224" s="13" t="n"/>
      <c r="AU224" s="13" t="n"/>
    </row>
    <row r="225" ht="110.1" customHeight="1" s="110" thickBot="1">
      <c r="A225" s="79" t="n">
        <v>190</v>
      </c>
      <c r="B225" s="213" t="inlineStr">
        <is>
          <t xml:space="preserve">Where?
What?　
How?　
Other info? </t>
        </is>
      </c>
      <c r="C225" s="200" t="n"/>
      <c r="D225" s="200" t="n"/>
      <c r="E225" s="200" t="n"/>
      <c r="F225" s="201" t="n"/>
      <c r="G225" s="4" t="n"/>
      <c r="H225" s="4" t="n"/>
      <c r="I225" s="78">
        <f>AK225</f>
        <v/>
      </c>
      <c r="J225" s="6" t="n"/>
      <c r="K225" s="6" t="n"/>
      <c r="L225" s="7" t="n"/>
      <c r="M225" s="8" t="n"/>
      <c r="N225" s="8" t="n"/>
      <c r="O225" s="8" t="n"/>
      <c r="P225" s="23" t="n"/>
      <c r="Q225" s="23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9" t="n"/>
      <c r="AA225" s="8" t="n"/>
      <c r="AB225" s="8" t="n"/>
      <c r="AC225" s="8" t="n"/>
      <c r="AD225" s="8" t="n"/>
      <c r="AE225" s="8" t="n"/>
      <c r="AF225" s="8" t="n"/>
      <c r="AG225" s="9" t="n"/>
      <c r="AH225" s="8" t="n"/>
      <c r="AI225" s="8" t="n"/>
      <c r="AJ225" s="9" t="n"/>
      <c r="AK225" s="56">
        <f>COUNTA(L225:AJ225)</f>
        <v/>
      </c>
      <c r="AL225" s="95" t="n"/>
      <c r="AM225" s="10" t="n"/>
      <c r="AN225" s="10" t="n"/>
      <c r="AO225" s="21" t="n"/>
      <c r="AP225" s="21" t="n"/>
      <c r="AQ225" s="21" t="n"/>
      <c r="AR225" s="21" t="n"/>
      <c r="AS225" s="13" t="n"/>
      <c r="AT225" s="13" t="n"/>
      <c r="AU225" s="13" t="n"/>
    </row>
    <row r="226" ht="110.1" customHeight="1" s="110" thickBot="1">
      <c r="A226" s="79" t="n">
        <v>191</v>
      </c>
      <c r="B226" s="213" t="inlineStr">
        <is>
          <t xml:space="preserve">Where?
What?　
How?　
Other info? </t>
        </is>
      </c>
      <c r="C226" s="200" t="n"/>
      <c r="D226" s="200" t="n"/>
      <c r="E226" s="200" t="n"/>
      <c r="F226" s="201" t="n"/>
      <c r="G226" s="4" t="n"/>
      <c r="H226" s="4" t="n"/>
      <c r="I226" s="78">
        <f>AK226</f>
        <v/>
      </c>
      <c r="J226" s="6" t="n"/>
      <c r="K226" s="6" t="n"/>
      <c r="L226" s="7" t="n"/>
      <c r="M226" s="8" t="n"/>
      <c r="N226" s="8" t="n"/>
      <c r="O226" s="8" t="n"/>
      <c r="P226" s="23" t="n"/>
      <c r="Q226" s="23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9" t="n"/>
      <c r="AA226" s="8" t="n"/>
      <c r="AB226" s="8" t="n"/>
      <c r="AC226" s="8" t="n"/>
      <c r="AD226" s="8" t="n"/>
      <c r="AE226" s="8" t="n"/>
      <c r="AF226" s="8" t="n"/>
      <c r="AG226" s="9" t="n"/>
      <c r="AH226" s="8" t="n"/>
      <c r="AI226" s="8" t="n"/>
      <c r="AJ226" s="9" t="n"/>
      <c r="AK226" s="56">
        <f>COUNTA(L226:AJ226)</f>
        <v/>
      </c>
      <c r="AL226" s="95" t="n"/>
      <c r="AM226" s="10" t="n"/>
      <c r="AN226" s="10" t="n"/>
      <c r="AO226" s="21" t="n"/>
      <c r="AP226" s="21" t="n"/>
      <c r="AQ226" s="21" t="n"/>
      <c r="AR226" s="21" t="n"/>
      <c r="AS226" s="13" t="n"/>
      <c r="AT226" s="13" t="n"/>
      <c r="AU226" s="13" t="n"/>
    </row>
    <row r="227" ht="110.1" customHeight="1" s="110" thickBot="1">
      <c r="A227" s="79" t="n">
        <v>192</v>
      </c>
      <c r="B227" s="213" t="inlineStr">
        <is>
          <t xml:space="preserve">Where?
What?　
How?　
Other info? </t>
        </is>
      </c>
      <c r="C227" s="200" t="n"/>
      <c r="D227" s="200" t="n"/>
      <c r="E227" s="200" t="n"/>
      <c r="F227" s="201" t="n"/>
      <c r="G227" s="4" t="n"/>
      <c r="H227" s="4" t="n"/>
      <c r="I227" s="78">
        <f>AK227</f>
        <v/>
      </c>
      <c r="J227" s="6" t="n"/>
      <c r="K227" s="6" t="n"/>
      <c r="L227" s="7" t="n"/>
      <c r="M227" s="8" t="n"/>
      <c r="N227" s="8" t="n"/>
      <c r="O227" s="8" t="n"/>
      <c r="P227" s="23" t="n"/>
      <c r="Q227" s="23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9" t="n"/>
      <c r="AA227" s="8" t="n"/>
      <c r="AB227" s="8" t="n"/>
      <c r="AC227" s="8" t="n"/>
      <c r="AD227" s="8" t="n"/>
      <c r="AE227" s="8" t="n"/>
      <c r="AF227" s="8" t="n"/>
      <c r="AG227" s="9" t="n"/>
      <c r="AH227" s="8" t="n"/>
      <c r="AI227" s="8" t="n"/>
      <c r="AJ227" s="9" t="n"/>
      <c r="AK227" s="56">
        <f>COUNTA(L227:AJ227)</f>
        <v/>
      </c>
      <c r="AL227" s="95" t="n"/>
      <c r="AM227" s="10" t="n"/>
      <c r="AN227" s="10" t="n"/>
      <c r="AO227" s="21" t="n"/>
      <c r="AP227" s="21" t="n"/>
      <c r="AQ227" s="21" t="n"/>
      <c r="AR227" s="21" t="n"/>
      <c r="AS227" s="13" t="n"/>
      <c r="AT227" s="13" t="n"/>
      <c r="AU227" s="13" t="n"/>
    </row>
    <row r="228" ht="110.1" customHeight="1" s="110" thickBot="1">
      <c r="A228" s="79" t="n">
        <v>193</v>
      </c>
      <c r="B228" s="213" t="inlineStr">
        <is>
          <t xml:space="preserve">Where?
What?　
How?　
Other info? </t>
        </is>
      </c>
      <c r="C228" s="200" t="n"/>
      <c r="D228" s="200" t="n"/>
      <c r="E228" s="200" t="n"/>
      <c r="F228" s="201" t="n"/>
      <c r="G228" s="4" t="n"/>
      <c r="H228" s="4" t="n"/>
      <c r="I228" s="78">
        <f>AK228</f>
        <v/>
      </c>
      <c r="J228" s="6" t="n"/>
      <c r="K228" s="6" t="n"/>
      <c r="L228" s="7" t="n"/>
      <c r="M228" s="8" t="n"/>
      <c r="N228" s="8" t="n"/>
      <c r="O228" s="8" t="n"/>
      <c r="P228" s="23" t="n"/>
      <c r="Q228" s="23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9" t="n"/>
      <c r="AA228" s="8" t="n"/>
      <c r="AB228" s="8" t="n"/>
      <c r="AC228" s="8" t="n"/>
      <c r="AD228" s="8" t="n"/>
      <c r="AE228" s="8" t="n"/>
      <c r="AF228" s="8" t="n"/>
      <c r="AG228" s="9" t="n"/>
      <c r="AH228" s="8" t="n"/>
      <c r="AI228" s="8" t="n"/>
      <c r="AJ228" s="9" t="n"/>
      <c r="AK228" s="56">
        <f>COUNTA(L228:AJ228)</f>
        <v/>
      </c>
      <c r="AL228" s="95" t="n"/>
      <c r="AM228" s="10" t="n"/>
      <c r="AN228" s="10" t="n"/>
      <c r="AO228" s="21" t="n"/>
      <c r="AP228" s="21" t="n"/>
      <c r="AQ228" s="21" t="n"/>
      <c r="AR228" s="21" t="n"/>
      <c r="AS228" s="13" t="n"/>
      <c r="AT228" s="13" t="n"/>
      <c r="AU228" s="13" t="n"/>
    </row>
    <row r="229" ht="110.1" customHeight="1" s="110" thickBot="1">
      <c r="A229" s="79" t="n">
        <v>194</v>
      </c>
      <c r="B229" s="213" t="inlineStr">
        <is>
          <t xml:space="preserve">Where?
What?　
How?　
Other info? </t>
        </is>
      </c>
      <c r="C229" s="200" t="n"/>
      <c r="D229" s="200" t="n"/>
      <c r="E229" s="200" t="n"/>
      <c r="F229" s="201" t="n"/>
      <c r="G229" s="4" t="n"/>
      <c r="H229" s="4" t="n"/>
      <c r="I229" s="78">
        <f>AK229</f>
        <v/>
      </c>
      <c r="J229" s="6" t="n"/>
      <c r="K229" s="6" t="n"/>
      <c r="L229" s="7" t="n"/>
      <c r="M229" s="8" t="n"/>
      <c r="N229" s="8" t="n"/>
      <c r="O229" s="8" t="n"/>
      <c r="P229" s="23" t="n"/>
      <c r="Q229" s="23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9" t="n"/>
      <c r="AA229" s="8" t="n"/>
      <c r="AB229" s="8" t="n"/>
      <c r="AC229" s="8" t="n"/>
      <c r="AD229" s="8" t="n"/>
      <c r="AE229" s="8" t="n"/>
      <c r="AF229" s="8" t="n"/>
      <c r="AG229" s="9" t="n"/>
      <c r="AH229" s="8" t="n"/>
      <c r="AI229" s="8" t="n"/>
      <c r="AJ229" s="9" t="n"/>
      <c r="AK229" s="56">
        <f>COUNTA(L229:AJ229)</f>
        <v/>
      </c>
      <c r="AL229" s="95" t="n"/>
      <c r="AM229" s="10" t="n"/>
      <c r="AN229" s="10" t="n"/>
      <c r="AO229" s="21" t="n"/>
      <c r="AP229" s="21" t="n"/>
      <c r="AQ229" s="21" t="n"/>
      <c r="AR229" s="21" t="n"/>
      <c r="AS229" s="13" t="n"/>
      <c r="AT229" s="13" t="n"/>
      <c r="AU229" s="13" t="n"/>
    </row>
    <row r="230" ht="110.1" customHeight="1" s="110" thickBot="1">
      <c r="A230" s="79" t="n">
        <v>195</v>
      </c>
      <c r="B230" s="213" t="inlineStr">
        <is>
          <t xml:space="preserve">Where?
What?　
How?　
Other info? </t>
        </is>
      </c>
      <c r="C230" s="200" t="n"/>
      <c r="D230" s="200" t="n"/>
      <c r="E230" s="200" t="n"/>
      <c r="F230" s="201" t="n"/>
      <c r="G230" s="4" t="n"/>
      <c r="H230" s="4" t="n"/>
      <c r="I230" s="78">
        <f>AK230</f>
        <v/>
      </c>
      <c r="J230" s="6" t="n"/>
      <c r="K230" s="6" t="n"/>
      <c r="L230" s="7" t="n"/>
      <c r="M230" s="8" t="n"/>
      <c r="N230" s="8" t="n"/>
      <c r="O230" s="8" t="n"/>
      <c r="P230" s="23" t="n"/>
      <c r="Q230" s="23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9" t="n"/>
      <c r="AA230" s="8" t="n"/>
      <c r="AB230" s="8" t="n"/>
      <c r="AC230" s="8" t="n"/>
      <c r="AD230" s="8" t="n"/>
      <c r="AE230" s="8" t="n"/>
      <c r="AF230" s="8" t="n"/>
      <c r="AG230" s="9" t="n"/>
      <c r="AH230" s="8" t="n"/>
      <c r="AI230" s="8" t="n"/>
      <c r="AJ230" s="9" t="n"/>
      <c r="AK230" s="56">
        <f>COUNTA(L230:AJ230)</f>
        <v/>
      </c>
      <c r="AL230" s="95" t="n"/>
      <c r="AM230" s="10" t="n"/>
      <c r="AN230" s="10" t="n"/>
      <c r="AO230" s="21" t="n"/>
      <c r="AP230" s="21" t="n"/>
      <c r="AQ230" s="21" t="n"/>
      <c r="AR230" s="21" t="n"/>
      <c r="AS230" s="13" t="n"/>
      <c r="AT230" s="13" t="n"/>
      <c r="AU230" s="13" t="n"/>
    </row>
    <row r="231" ht="110.1" customHeight="1" s="110" thickBot="1">
      <c r="A231" s="79" t="n">
        <v>196</v>
      </c>
      <c r="B231" s="213" t="inlineStr">
        <is>
          <t xml:space="preserve">Where?
What?　
How?　
Other info? </t>
        </is>
      </c>
      <c r="C231" s="200" t="n"/>
      <c r="D231" s="200" t="n"/>
      <c r="E231" s="200" t="n"/>
      <c r="F231" s="201" t="n"/>
      <c r="G231" s="4" t="n"/>
      <c r="H231" s="4" t="n"/>
      <c r="I231" s="78">
        <f>AK231</f>
        <v/>
      </c>
      <c r="J231" s="6" t="n"/>
      <c r="K231" s="6" t="n"/>
      <c r="L231" s="7" t="n"/>
      <c r="M231" s="8" t="n"/>
      <c r="N231" s="8" t="n"/>
      <c r="O231" s="8" t="n"/>
      <c r="P231" s="23" t="n"/>
      <c r="Q231" s="23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9" t="n"/>
      <c r="AA231" s="8" t="n"/>
      <c r="AB231" s="8" t="n"/>
      <c r="AC231" s="8" t="n"/>
      <c r="AD231" s="8" t="n"/>
      <c r="AE231" s="8" t="n"/>
      <c r="AF231" s="8" t="n"/>
      <c r="AG231" s="9" t="n"/>
      <c r="AH231" s="8" t="n"/>
      <c r="AI231" s="8" t="n"/>
      <c r="AJ231" s="9" t="n"/>
      <c r="AK231" s="56">
        <f>COUNTA(L231:AJ231)</f>
        <v/>
      </c>
      <c r="AL231" s="95" t="n"/>
      <c r="AM231" s="10" t="n"/>
      <c r="AN231" s="10" t="n"/>
      <c r="AO231" s="21" t="n"/>
      <c r="AP231" s="21" t="n"/>
      <c r="AQ231" s="21" t="n"/>
      <c r="AR231" s="21" t="n"/>
      <c r="AS231" s="13" t="n"/>
      <c r="AT231" s="13" t="n"/>
      <c r="AU231" s="13" t="n"/>
    </row>
    <row r="232" ht="110.1" customHeight="1" s="110" thickBot="1">
      <c r="A232" s="79" t="n">
        <v>197</v>
      </c>
      <c r="B232" s="213" t="inlineStr">
        <is>
          <t xml:space="preserve">Where?
What?　
How?　
Other info? </t>
        </is>
      </c>
      <c r="C232" s="200" t="n"/>
      <c r="D232" s="200" t="n"/>
      <c r="E232" s="200" t="n"/>
      <c r="F232" s="201" t="n"/>
      <c r="G232" s="4" t="n"/>
      <c r="H232" s="4" t="n"/>
      <c r="I232" s="78">
        <f>AK232</f>
        <v/>
      </c>
      <c r="J232" s="6" t="n"/>
      <c r="K232" s="6" t="n"/>
      <c r="L232" s="7" t="n"/>
      <c r="M232" s="8" t="n"/>
      <c r="N232" s="8" t="n"/>
      <c r="O232" s="8" t="n"/>
      <c r="P232" s="23" t="n"/>
      <c r="Q232" s="23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9" t="n"/>
      <c r="AA232" s="8" t="n"/>
      <c r="AB232" s="8" t="n"/>
      <c r="AC232" s="8" t="n"/>
      <c r="AD232" s="8" t="n"/>
      <c r="AE232" s="8" t="n"/>
      <c r="AF232" s="8" t="n"/>
      <c r="AG232" s="9" t="n"/>
      <c r="AH232" s="8" t="n"/>
      <c r="AI232" s="8" t="n"/>
      <c r="AJ232" s="9" t="n"/>
      <c r="AK232" s="56">
        <f>COUNTA(L232:AJ232)</f>
        <v/>
      </c>
      <c r="AL232" s="95" t="n"/>
      <c r="AM232" s="10" t="n"/>
      <c r="AN232" s="10" t="n"/>
      <c r="AO232" s="21" t="n"/>
      <c r="AP232" s="21" t="n"/>
      <c r="AQ232" s="21" t="n"/>
      <c r="AR232" s="21" t="n"/>
      <c r="AS232" s="13" t="n"/>
      <c r="AT232" s="13" t="n"/>
      <c r="AU232" s="13" t="n"/>
    </row>
    <row r="233" ht="110.1" customHeight="1" s="110" thickBot="1">
      <c r="A233" s="79" t="n">
        <v>198</v>
      </c>
      <c r="B233" s="213" t="inlineStr">
        <is>
          <t xml:space="preserve">Where?
What?　
How?　
Other info? </t>
        </is>
      </c>
      <c r="C233" s="200" t="n"/>
      <c r="D233" s="200" t="n"/>
      <c r="E233" s="200" t="n"/>
      <c r="F233" s="201" t="n"/>
      <c r="G233" s="4" t="n"/>
      <c r="H233" s="4" t="n"/>
      <c r="I233" s="78">
        <f>AK233</f>
        <v/>
      </c>
      <c r="J233" s="6" t="n"/>
      <c r="K233" s="6" t="n"/>
      <c r="L233" s="7" t="n"/>
      <c r="M233" s="8" t="n"/>
      <c r="N233" s="8" t="n"/>
      <c r="O233" s="8" t="n"/>
      <c r="P233" s="23" t="n"/>
      <c r="Q233" s="23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9" t="n"/>
      <c r="AA233" s="8" t="n"/>
      <c r="AB233" s="8" t="n"/>
      <c r="AC233" s="8" t="n"/>
      <c r="AD233" s="8" t="n"/>
      <c r="AE233" s="8" t="n"/>
      <c r="AF233" s="8" t="n"/>
      <c r="AG233" s="9" t="n"/>
      <c r="AH233" s="8" t="n"/>
      <c r="AI233" s="8" t="n"/>
      <c r="AJ233" s="9" t="n"/>
      <c r="AK233" s="56">
        <f>COUNTA(L233:AJ233)</f>
        <v/>
      </c>
      <c r="AL233" s="95" t="n"/>
      <c r="AM233" s="10" t="n"/>
      <c r="AN233" s="10" t="n"/>
      <c r="AO233" s="21" t="n"/>
      <c r="AP233" s="21" t="n"/>
      <c r="AQ233" s="21" t="n"/>
      <c r="AR233" s="21" t="n"/>
      <c r="AS233" s="13" t="n"/>
      <c r="AT233" s="13" t="n"/>
      <c r="AU233" s="13" t="n"/>
    </row>
    <row r="234" ht="110.1" customHeight="1" s="110" thickBot="1">
      <c r="A234" s="79" t="n">
        <v>199</v>
      </c>
      <c r="B234" s="213" t="inlineStr">
        <is>
          <t xml:space="preserve">Where?
What?　
How?　
Other info? </t>
        </is>
      </c>
      <c r="C234" s="200" t="n"/>
      <c r="D234" s="200" t="n"/>
      <c r="E234" s="200" t="n"/>
      <c r="F234" s="201" t="n"/>
      <c r="G234" s="4" t="n"/>
      <c r="H234" s="4" t="n"/>
      <c r="I234" s="78">
        <f>AK234</f>
        <v/>
      </c>
      <c r="J234" s="6" t="n"/>
      <c r="K234" s="6" t="n"/>
      <c r="L234" s="7" t="n"/>
      <c r="M234" s="8" t="n"/>
      <c r="N234" s="8" t="n"/>
      <c r="O234" s="8" t="n"/>
      <c r="P234" s="23" t="n"/>
      <c r="Q234" s="23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9" t="n"/>
      <c r="AA234" s="8" t="n"/>
      <c r="AB234" s="8" t="n"/>
      <c r="AC234" s="8" t="n"/>
      <c r="AD234" s="8" t="n"/>
      <c r="AE234" s="8" t="n"/>
      <c r="AF234" s="8" t="n"/>
      <c r="AG234" s="9" t="n"/>
      <c r="AH234" s="8" t="n"/>
      <c r="AI234" s="8" t="n"/>
      <c r="AJ234" s="9" t="n"/>
      <c r="AK234" s="56">
        <f>COUNTA(L234:AJ234)</f>
        <v/>
      </c>
      <c r="AL234" s="95" t="n"/>
      <c r="AM234" s="10" t="n"/>
      <c r="AN234" s="10" t="n"/>
      <c r="AO234" s="21" t="n"/>
      <c r="AP234" s="21" t="n"/>
      <c r="AQ234" s="21" t="n"/>
      <c r="AR234" s="21" t="n"/>
      <c r="AS234" s="13" t="n"/>
      <c r="AT234" s="13" t="n"/>
      <c r="AU234" s="13" t="n"/>
    </row>
    <row r="235" ht="110.1" customFormat="1" customHeight="1" s="14" thickBot="1">
      <c r="A235" s="79" t="n">
        <v>200</v>
      </c>
      <c r="B235" s="213" t="inlineStr">
        <is>
          <t xml:space="preserve">Where?
What?　
How?　
Other info? </t>
        </is>
      </c>
      <c r="C235" s="200" t="n"/>
      <c r="D235" s="200" t="n"/>
      <c r="E235" s="200" t="n"/>
      <c r="F235" s="201" t="n"/>
      <c r="G235" s="4" t="n"/>
      <c r="H235" s="4" t="n"/>
      <c r="I235" s="78">
        <f>AK235</f>
        <v/>
      </c>
      <c r="J235" s="15" t="n"/>
      <c r="K235" s="6" t="n"/>
      <c r="L235" s="7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9" t="n"/>
      <c r="AA235" s="8" t="n"/>
      <c r="AB235" s="8" t="n"/>
      <c r="AC235" s="8" t="n"/>
      <c r="AD235" s="8" t="n"/>
      <c r="AE235" s="8" t="n"/>
      <c r="AF235" s="8" t="n"/>
      <c r="AG235" s="9" t="n"/>
      <c r="AH235" s="8" t="n"/>
      <c r="AI235" s="8" t="n"/>
      <c r="AJ235" s="9" t="n"/>
      <c r="AK235" s="56">
        <f>COUNTA(L235:AJ235)</f>
        <v/>
      </c>
      <c r="AL235" s="95" t="n"/>
      <c r="AM235" s="10" t="n"/>
      <c r="AN235" s="10" t="n"/>
      <c r="AO235" s="11" t="n"/>
      <c r="AP235" s="11" t="n"/>
      <c r="AQ235" s="16" t="n"/>
      <c r="AR235" s="13" t="n"/>
      <c r="AS235" s="13" t="n"/>
      <c r="AT235" s="13" t="n"/>
      <c r="AU235" s="13" t="n"/>
    </row>
    <row r="236" ht="110.1" customFormat="1" customHeight="1" s="14" thickBot="1">
      <c r="A236" s="79" t="n">
        <v>201</v>
      </c>
      <c r="B236" s="213" t="inlineStr">
        <is>
          <t xml:space="preserve">Where?
What?　
How?　
Other info? </t>
        </is>
      </c>
      <c r="C236" s="200" t="n"/>
      <c r="D236" s="200" t="n"/>
      <c r="E236" s="200" t="n"/>
      <c r="F236" s="201" t="n"/>
      <c r="G236" s="4" t="n"/>
      <c r="H236" s="4" t="n"/>
      <c r="I236" s="78">
        <f>AK236</f>
        <v/>
      </c>
      <c r="J236" s="15" t="n"/>
      <c r="K236" s="6" t="n"/>
      <c r="L236" s="7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9" t="n"/>
      <c r="AA236" s="8" t="n"/>
      <c r="AB236" s="8" t="n"/>
      <c r="AC236" s="8" t="n"/>
      <c r="AD236" s="8" t="n"/>
      <c r="AE236" s="8" t="n"/>
      <c r="AF236" s="8" t="n"/>
      <c r="AG236" s="9" t="n"/>
      <c r="AH236" s="8" t="n"/>
      <c r="AI236" s="8" t="n"/>
      <c r="AJ236" s="9" t="n"/>
      <c r="AK236" s="56">
        <f>COUNTA(L236:AJ236)</f>
        <v/>
      </c>
      <c r="AL236" s="95" t="n"/>
      <c r="AM236" s="10" t="n"/>
      <c r="AN236" s="10" t="n"/>
      <c r="AO236" s="11" t="n"/>
      <c r="AP236" s="11" t="n"/>
      <c r="AQ236" s="16" t="n"/>
      <c r="AR236" s="13" t="n"/>
      <c r="AS236" s="13" t="n"/>
      <c r="AT236" s="13" t="n"/>
      <c r="AU236" s="13" t="n"/>
    </row>
    <row r="237" ht="110.1" customFormat="1" customHeight="1" s="14" thickBot="1">
      <c r="A237" s="79" t="n">
        <v>202</v>
      </c>
      <c r="B237" s="213" t="inlineStr">
        <is>
          <t xml:space="preserve">Where?
What?　
How?　
Other info? </t>
        </is>
      </c>
      <c r="C237" s="200" t="n"/>
      <c r="D237" s="200" t="n"/>
      <c r="E237" s="200" t="n"/>
      <c r="F237" s="201" t="n"/>
      <c r="G237" s="4" t="n"/>
      <c r="H237" s="4" t="n"/>
      <c r="I237" s="78">
        <f>AK237</f>
        <v/>
      </c>
      <c r="J237" s="15" t="n"/>
      <c r="K237" s="6" t="n"/>
      <c r="L237" s="7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9" t="n"/>
      <c r="AA237" s="8" t="n"/>
      <c r="AB237" s="8" t="n"/>
      <c r="AC237" s="8" t="n"/>
      <c r="AD237" s="8" t="n"/>
      <c r="AE237" s="8" t="n"/>
      <c r="AF237" s="8" t="n"/>
      <c r="AG237" s="9" t="n"/>
      <c r="AH237" s="8" t="n"/>
      <c r="AI237" s="8" t="n"/>
      <c r="AJ237" s="9" t="n"/>
      <c r="AK237" s="56">
        <f>COUNTA(L237:AJ237)</f>
        <v/>
      </c>
      <c r="AL237" s="95" t="n"/>
      <c r="AM237" s="10" t="n"/>
      <c r="AN237" s="10" t="n"/>
      <c r="AO237" s="11" t="n"/>
      <c r="AP237" s="11" t="n"/>
      <c r="AQ237" s="16" t="n"/>
      <c r="AR237" s="13" t="n"/>
      <c r="AS237" s="13" t="n"/>
      <c r="AT237" s="13" t="n"/>
      <c r="AU237" s="13" t="n"/>
    </row>
    <row r="238" ht="110.1" customFormat="1" customHeight="1" s="14" thickBot="1">
      <c r="A238" s="79" t="n">
        <v>203</v>
      </c>
      <c r="B238" s="213" t="inlineStr">
        <is>
          <t xml:space="preserve">Where?
What?　
How?　
Other info? </t>
        </is>
      </c>
      <c r="C238" s="200" t="n"/>
      <c r="D238" s="200" t="n"/>
      <c r="E238" s="200" t="n"/>
      <c r="F238" s="201" t="n"/>
      <c r="G238" s="4" t="n"/>
      <c r="H238" s="4" t="n"/>
      <c r="I238" s="78">
        <f>AK238</f>
        <v/>
      </c>
      <c r="J238" s="15" t="n"/>
      <c r="K238" s="24" t="n"/>
      <c r="L238" s="7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9" t="n"/>
      <c r="AA238" s="8" t="n"/>
      <c r="AB238" s="8" t="n"/>
      <c r="AC238" s="8" t="n"/>
      <c r="AD238" s="8" t="n"/>
      <c r="AE238" s="8" t="n"/>
      <c r="AF238" s="8" t="n"/>
      <c r="AG238" s="9" t="n"/>
      <c r="AH238" s="8" t="n"/>
      <c r="AI238" s="8" t="n"/>
      <c r="AJ238" s="9" t="n"/>
      <c r="AK238" s="56">
        <f>COUNTA(L238:AJ238)</f>
        <v/>
      </c>
      <c r="AL238" s="95" t="n"/>
      <c r="AM238" s="10" t="n"/>
      <c r="AN238" s="10" t="n"/>
      <c r="AO238" s="11" t="n"/>
      <c r="AP238" s="11" t="n"/>
      <c r="AQ238" s="16" t="n"/>
      <c r="AR238" s="13" t="n"/>
      <c r="AS238" s="13" t="n"/>
      <c r="AT238" s="13" t="n"/>
      <c r="AU238" s="13" t="n"/>
    </row>
    <row r="239" ht="110.1" customFormat="1" customHeight="1" s="14" thickBot="1">
      <c r="A239" s="79" t="n">
        <v>204</v>
      </c>
      <c r="B239" s="213" t="inlineStr">
        <is>
          <t xml:space="preserve">Where?
What?　
How?　
Other info? </t>
        </is>
      </c>
      <c r="C239" s="200" t="n"/>
      <c r="D239" s="200" t="n"/>
      <c r="E239" s="200" t="n"/>
      <c r="F239" s="201" t="n"/>
      <c r="G239" s="4" t="n"/>
      <c r="H239" s="4" t="n"/>
      <c r="I239" s="78">
        <f>AK239</f>
        <v/>
      </c>
      <c r="J239" s="15" t="n"/>
      <c r="K239" s="6" t="n"/>
      <c r="L239" s="7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9" t="n"/>
      <c r="AA239" s="8" t="n"/>
      <c r="AB239" s="8" t="n"/>
      <c r="AC239" s="8" t="n"/>
      <c r="AD239" s="8" t="n"/>
      <c r="AE239" s="8" t="n"/>
      <c r="AF239" s="8" t="n"/>
      <c r="AG239" s="9" t="n"/>
      <c r="AH239" s="8" t="n"/>
      <c r="AI239" s="8" t="n"/>
      <c r="AJ239" s="9" t="n"/>
      <c r="AK239" s="56">
        <f>COUNTA(L239:AJ239)</f>
        <v/>
      </c>
      <c r="AL239" s="95" t="n"/>
      <c r="AM239" s="10" t="n"/>
      <c r="AN239" s="10" t="n"/>
      <c r="AO239" s="11" t="n"/>
      <c r="AP239" s="11" t="n"/>
      <c r="AQ239" s="16" t="n"/>
      <c r="AR239" s="13" t="n"/>
      <c r="AS239" s="13" t="n"/>
      <c r="AT239" s="13" t="n"/>
      <c r="AU239" s="13" t="n"/>
    </row>
    <row r="240" ht="110.1" customFormat="1" customHeight="1" s="14" thickBot="1">
      <c r="A240" s="79" t="n">
        <v>205</v>
      </c>
      <c r="B240" s="213" t="inlineStr">
        <is>
          <t xml:space="preserve">Where?
What?　
How?　
Other info? </t>
        </is>
      </c>
      <c r="C240" s="200" t="n"/>
      <c r="D240" s="200" t="n"/>
      <c r="E240" s="200" t="n"/>
      <c r="F240" s="201" t="n"/>
      <c r="G240" s="4" t="n"/>
      <c r="H240" s="4" t="n"/>
      <c r="I240" s="78">
        <f>AK240</f>
        <v/>
      </c>
      <c r="J240" s="15" t="n"/>
      <c r="K240" s="6" t="n"/>
      <c r="L240" s="7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9" t="n"/>
      <c r="AA240" s="8" t="n"/>
      <c r="AB240" s="8" t="n"/>
      <c r="AC240" s="8" t="n"/>
      <c r="AD240" s="8" t="n"/>
      <c r="AE240" s="8" t="n"/>
      <c r="AF240" s="8" t="n"/>
      <c r="AG240" s="9" t="n"/>
      <c r="AH240" s="8" t="n"/>
      <c r="AI240" s="8" t="n"/>
      <c r="AJ240" s="9" t="n"/>
      <c r="AK240" s="56">
        <f>COUNTA(L240:AJ240)</f>
        <v/>
      </c>
      <c r="AL240" s="95" t="n"/>
      <c r="AM240" s="10" t="n"/>
      <c r="AN240" s="10" t="n"/>
      <c r="AO240" s="11" t="n"/>
      <c r="AP240" s="11" t="n"/>
      <c r="AQ240" s="16" t="n"/>
      <c r="AR240" s="13" t="n"/>
      <c r="AS240" s="13" t="n"/>
      <c r="AT240" s="13" t="n"/>
      <c r="AU240" s="13" t="n"/>
    </row>
    <row r="241" ht="110.1" customFormat="1" customHeight="1" s="14" thickBot="1">
      <c r="A241" s="79" t="n">
        <v>206</v>
      </c>
      <c r="B241" s="213" t="inlineStr">
        <is>
          <t xml:space="preserve">Where?
What?　
How?　
Other info? </t>
        </is>
      </c>
      <c r="C241" s="200" t="n"/>
      <c r="D241" s="200" t="n"/>
      <c r="E241" s="200" t="n"/>
      <c r="F241" s="201" t="n"/>
      <c r="G241" s="4" t="n"/>
      <c r="H241" s="4" t="n"/>
      <c r="I241" s="78">
        <f>AK241</f>
        <v/>
      </c>
      <c r="J241" s="15" t="n"/>
      <c r="K241" s="6" t="n"/>
      <c r="L241" s="7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9" t="n"/>
      <c r="AA241" s="8" t="n"/>
      <c r="AB241" s="8" t="n"/>
      <c r="AC241" s="8" t="n"/>
      <c r="AD241" s="8" t="n"/>
      <c r="AE241" s="8" t="n"/>
      <c r="AF241" s="8" t="n"/>
      <c r="AG241" s="9" t="n"/>
      <c r="AH241" s="8" t="n"/>
      <c r="AI241" s="8" t="n"/>
      <c r="AJ241" s="9" t="n"/>
      <c r="AK241" s="56">
        <f>COUNTA(L241:AJ241)</f>
        <v/>
      </c>
      <c r="AL241" s="95" t="n"/>
      <c r="AM241" s="10" t="n"/>
      <c r="AN241" s="10" t="n"/>
      <c r="AO241" s="11" t="n"/>
      <c r="AP241" s="11" t="n"/>
      <c r="AQ241" s="16" t="n"/>
      <c r="AR241" s="13" t="n"/>
      <c r="AS241" s="13" t="n"/>
      <c r="AT241" s="13" t="n"/>
      <c r="AU241" s="13" t="n"/>
    </row>
    <row r="242" ht="110.1" customFormat="1" customHeight="1" s="14" thickBot="1">
      <c r="A242" s="79" t="n">
        <v>207</v>
      </c>
      <c r="B242" s="213" t="inlineStr">
        <is>
          <t xml:space="preserve">Where?
What?　
How?　
Other info? </t>
        </is>
      </c>
      <c r="C242" s="200" t="n"/>
      <c r="D242" s="200" t="n"/>
      <c r="E242" s="200" t="n"/>
      <c r="F242" s="201" t="n"/>
      <c r="G242" s="4" t="n"/>
      <c r="H242" s="4" t="n"/>
      <c r="I242" s="78">
        <f>AK242</f>
        <v/>
      </c>
      <c r="J242" s="15" t="n"/>
      <c r="K242" s="6" t="n"/>
      <c r="L242" s="7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9" t="n"/>
      <c r="AA242" s="8" t="n"/>
      <c r="AB242" s="8" t="n"/>
      <c r="AC242" s="8" t="n"/>
      <c r="AD242" s="8" t="n"/>
      <c r="AE242" s="8" t="n"/>
      <c r="AF242" s="8" t="n"/>
      <c r="AG242" s="9" t="n"/>
      <c r="AH242" s="8" t="n"/>
      <c r="AI242" s="8" t="n"/>
      <c r="AJ242" s="9" t="n"/>
      <c r="AK242" s="56">
        <f>COUNTA(L242:AJ242)</f>
        <v/>
      </c>
      <c r="AL242" s="95" t="n"/>
      <c r="AM242" s="10" t="n"/>
      <c r="AN242" s="10" t="n"/>
      <c r="AO242" s="11" t="n"/>
      <c r="AP242" s="11" t="n"/>
      <c r="AQ242" s="16" t="n"/>
      <c r="AR242" s="13" t="n"/>
      <c r="AS242" s="13" t="n"/>
      <c r="AT242" s="13" t="n"/>
      <c r="AU242" s="13" t="n"/>
    </row>
    <row r="243" ht="110.1" customFormat="1" customHeight="1" s="14" thickBot="1">
      <c r="A243" s="79" t="n">
        <v>208</v>
      </c>
      <c r="B243" s="213" t="inlineStr">
        <is>
          <t xml:space="preserve">Where?
What?　
How?　
Other info? </t>
        </is>
      </c>
      <c r="C243" s="200" t="n"/>
      <c r="D243" s="200" t="n"/>
      <c r="E243" s="200" t="n"/>
      <c r="F243" s="201" t="n"/>
      <c r="G243" s="4" t="n"/>
      <c r="H243" s="4" t="n"/>
      <c r="I243" s="78">
        <f>AK243</f>
        <v/>
      </c>
      <c r="J243" s="15" t="n"/>
      <c r="K243" s="6" t="n"/>
      <c r="L243" s="7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9" t="n"/>
      <c r="AA243" s="8" t="n"/>
      <c r="AB243" s="8" t="n"/>
      <c r="AC243" s="8" t="n"/>
      <c r="AD243" s="8" t="n"/>
      <c r="AE243" s="8" t="n"/>
      <c r="AF243" s="8" t="n"/>
      <c r="AG243" s="9" t="n"/>
      <c r="AH243" s="8" t="n"/>
      <c r="AI243" s="8" t="n"/>
      <c r="AJ243" s="9" t="n"/>
      <c r="AK243" s="56">
        <f>COUNTA(L243:AJ243)</f>
        <v/>
      </c>
      <c r="AL243" s="95" t="n"/>
      <c r="AM243" s="10" t="n"/>
      <c r="AN243" s="10" t="n"/>
      <c r="AO243" s="11" t="n"/>
      <c r="AP243" s="11" t="n"/>
      <c r="AQ243" s="16" t="n"/>
      <c r="AR243" s="13" t="n"/>
      <c r="AS243" s="13" t="n"/>
      <c r="AT243" s="13" t="n"/>
      <c r="AU243" s="13" t="n"/>
    </row>
    <row r="244" ht="110.1" customFormat="1" customHeight="1" s="14" thickBot="1">
      <c r="A244" s="79" t="n">
        <v>209</v>
      </c>
      <c r="B244" s="213" t="inlineStr">
        <is>
          <t xml:space="preserve">Where?
What?　
How?　
Other info? </t>
        </is>
      </c>
      <c r="C244" s="200" t="n"/>
      <c r="D244" s="200" t="n"/>
      <c r="E244" s="200" t="n"/>
      <c r="F244" s="201" t="n"/>
      <c r="G244" s="4" t="n"/>
      <c r="H244" s="4" t="n"/>
      <c r="I244" s="78">
        <f>AK244</f>
        <v/>
      </c>
      <c r="J244" s="15" t="n"/>
      <c r="K244" s="6" t="n"/>
      <c r="L244" s="7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9" t="n"/>
      <c r="AA244" s="8" t="n"/>
      <c r="AB244" s="8" t="n"/>
      <c r="AC244" s="8" t="n"/>
      <c r="AD244" s="8" t="n"/>
      <c r="AE244" s="8" t="n"/>
      <c r="AF244" s="8" t="n"/>
      <c r="AG244" s="9" t="n"/>
      <c r="AH244" s="8" t="n"/>
      <c r="AI244" s="8" t="n"/>
      <c r="AJ244" s="9" t="n"/>
      <c r="AK244" s="56">
        <f>COUNTA(L244:AJ244)</f>
        <v/>
      </c>
      <c r="AL244" s="95" t="n"/>
      <c r="AM244" s="10" t="n"/>
      <c r="AN244" s="10" t="n"/>
      <c r="AO244" s="11" t="n"/>
      <c r="AP244" s="11" t="n"/>
      <c r="AQ244" s="16" t="n"/>
      <c r="AR244" s="13" t="n"/>
      <c r="AS244" s="13" t="n"/>
      <c r="AT244" s="13" t="n"/>
      <c r="AU244" s="13" t="n"/>
    </row>
    <row r="245" ht="110.1" customFormat="1" customHeight="1" s="14" thickBot="1">
      <c r="A245" s="79" t="n">
        <v>210</v>
      </c>
      <c r="B245" s="213" t="inlineStr">
        <is>
          <t xml:space="preserve">Where?
What?　
How?　
Other info? </t>
        </is>
      </c>
      <c r="C245" s="200" t="n"/>
      <c r="D245" s="200" t="n"/>
      <c r="E245" s="200" t="n"/>
      <c r="F245" s="201" t="n"/>
      <c r="G245" s="4" t="n"/>
      <c r="H245" s="4" t="n"/>
      <c r="I245" s="78">
        <f>AK245</f>
        <v/>
      </c>
      <c r="J245" s="15" t="n"/>
      <c r="K245" s="6" t="n"/>
      <c r="L245" s="7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9" t="n"/>
      <c r="AA245" s="8" t="n"/>
      <c r="AB245" s="8" t="n"/>
      <c r="AC245" s="8" t="n"/>
      <c r="AD245" s="8" t="n"/>
      <c r="AE245" s="8" t="n"/>
      <c r="AF245" s="8" t="n"/>
      <c r="AG245" s="9" t="n"/>
      <c r="AH245" s="8" t="n"/>
      <c r="AI245" s="8" t="n"/>
      <c r="AJ245" s="9" t="n"/>
      <c r="AK245" s="56">
        <f>COUNTA(L245:AJ245)</f>
        <v/>
      </c>
      <c r="AL245" s="95" t="n"/>
      <c r="AM245" s="10" t="n"/>
      <c r="AN245" s="10" t="n"/>
      <c r="AO245" s="11" t="n"/>
      <c r="AP245" s="11" t="n"/>
      <c r="AQ245" s="16" t="n"/>
      <c r="AR245" s="13" t="n"/>
      <c r="AS245" s="13" t="n"/>
      <c r="AT245" s="13" t="n"/>
      <c r="AU245" s="13" t="n"/>
    </row>
    <row r="246" ht="110.1" customFormat="1" customHeight="1" s="14" thickBot="1">
      <c r="A246" s="79" t="n">
        <v>211</v>
      </c>
      <c r="B246" s="213" t="inlineStr">
        <is>
          <t xml:space="preserve">Where?
What?　
How?　
Other info? </t>
        </is>
      </c>
      <c r="C246" s="200" t="n"/>
      <c r="D246" s="200" t="n"/>
      <c r="E246" s="200" t="n"/>
      <c r="F246" s="201" t="n"/>
      <c r="G246" s="17" t="n"/>
      <c r="H246" s="4" t="n"/>
      <c r="I246" s="78">
        <f>AK246</f>
        <v/>
      </c>
      <c r="J246" s="15" t="n"/>
      <c r="K246" s="6" t="n"/>
      <c r="L246" s="7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9" t="n"/>
      <c r="AA246" s="8" t="n"/>
      <c r="AB246" s="8" t="n"/>
      <c r="AC246" s="8" t="n"/>
      <c r="AD246" s="8" t="n"/>
      <c r="AE246" s="8" t="n"/>
      <c r="AF246" s="8" t="n"/>
      <c r="AG246" s="9" t="n"/>
      <c r="AH246" s="8" t="n"/>
      <c r="AI246" s="8" t="n"/>
      <c r="AJ246" s="9" t="n"/>
      <c r="AK246" s="56">
        <f>COUNTA(L246:AJ246)</f>
        <v/>
      </c>
      <c r="AL246" s="95" t="n"/>
      <c r="AM246" s="10" t="n"/>
      <c r="AN246" s="10" t="n"/>
      <c r="AO246" s="11" t="n"/>
      <c r="AP246" s="11" t="n"/>
      <c r="AQ246" s="16" t="n"/>
      <c r="AR246" s="13" t="n"/>
      <c r="AS246" s="13" t="n"/>
      <c r="AT246" s="13" t="n"/>
      <c r="AU246" s="13" t="n"/>
    </row>
    <row r="247" ht="110.1" customFormat="1" customHeight="1" s="14" thickBot="1">
      <c r="A247" s="79" t="n">
        <v>212</v>
      </c>
      <c r="B247" s="213" t="inlineStr">
        <is>
          <t xml:space="preserve">Where?
What?　
How?　
Other info? </t>
        </is>
      </c>
      <c r="C247" s="200" t="n"/>
      <c r="D247" s="200" t="n"/>
      <c r="E247" s="200" t="n"/>
      <c r="F247" s="201" t="n"/>
      <c r="G247" s="4" t="n"/>
      <c r="H247" s="4" t="n"/>
      <c r="I247" s="78">
        <f>AK247</f>
        <v/>
      </c>
      <c r="J247" s="18" t="n"/>
      <c r="K247" s="6" t="n"/>
      <c r="L247" s="7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9" t="n"/>
      <c r="AA247" s="8" t="n"/>
      <c r="AB247" s="8" t="n"/>
      <c r="AC247" s="8" t="n"/>
      <c r="AD247" s="8" t="n"/>
      <c r="AE247" s="8" t="n"/>
      <c r="AF247" s="8" t="n"/>
      <c r="AG247" s="9" t="n"/>
      <c r="AH247" s="8" t="n"/>
      <c r="AI247" s="8" t="n"/>
      <c r="AJ247" s="9" t="n"/>
      <c r="AK247" s="56">
        <f>COUNTA(L247:AJ247)</f>
        <v/>
      </c>
      <c r="AL247" s="95" t="n"/>
      <c r="AM247" s="10" t="n"/>
      <c r="AN247" s="10" t="n"/>
      <c r="AO247" s="11" t="n"/>
      <c r="AP247" s="11" t="n"/>
      <c r="AQ247" s="16" t="n"/>
      <c r="AR247" s="13" t="n"/>
      <c r="AS247" s="13" t="n"/>
      <c r="AT247" s="13" t="n"/>
      <c r="AU247" s="13" t="n"/>
    </row>
    <row r="248" ht="110.1" customHeight="1" s="110" thickBot="1">
      <c r="A248" s="79" t="n">
        <v>213</v>
      </c>
      <c r="B248" s="213" t="inlineStr">
        <is>
          <t xml:space="preserve">Where?
What?　
How?　
Other info? </t>
        </is>
      </c>
      <c r="C248" s="200" t="n"/>
      <c r="D248" s="200" t="n"/>
      <c r="E248" s="200" t="n"/>
      <c r="F248" s="201" t="n"/>
      <c r="G248" s="4" t="n"/>
      <c r="H248" s="4" t="n"/>
      <c r="I248" s="78">
        <f>AK248</f>
        <v/>
      </c>
      <c r="J248" s="6" t="n"/>
      <c r="K248" s="6" t="n"/>
      <c r="L248" s="7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9" t="n"/>
      <c r="AA248" s="8" t="n"/>
      <c r="AB248" s="8" t="n"/>
      <c r="AC248" s="8" t="n"/>
      <c r="AD248" s="8" t="n"/>
      <c r="AE248" s="8" t="n"/>
      <c r="AF248" s="8" t="n"/>
      <c r="AG248" s="9" t="n"/>
      <c r="AH248" s="8" t="n"/>
      <c r="AI248" s="8" t="n"/>
      <c r="AJ248" s="9" t="n"/>
      <c r="AK248" s="56">
        <f>COUNTA(L248:AJ248)</f>
        <v/>
      </c>
      <c r="AL248" s="95" t="n"/>
      <c r="AM248" s="10" t="n"/>
      <c r="AN248" s="10" t="n"/>
      <c r="AO248" s="17" t="n"/>
      <c r="AP248" s="19" t="n"/>
      <c r="AQ248" s="20" t="n"/>
      <c r="AR248" s="21" t="n"/>
      <c r="AS248" s="13" t="n"/>
      <c r="AT248" s="13" t="n"/>
      <c r="AU248" s="13" t="n"/>
    </row>
    <row r="249" ht="110.1" customHeight="1" s="110" thickBot="1">
      <c r="A249" s="79" t="n">
        <v>214</v>
      </c>
      <c r="B249" s="213" t="inlineStr">
        <is>
          <t xml:space="preserve">Where?
What?　
How?　
Other info? </t>
        </is>
      </c>
      <c r="C249" s="200" t="n"/>
      <c r="D249" s="200" t="n"/>
      <c r="E249" s="200" t="n"/>
      <c r="F249" s="201" t="n"/>
      <c r="G249" s="4" t="n"/>
      <c r="H249" s="4" t="n"/>
      <c r="I249" s="78">
        <f>AK249</f>
        <v/>
      </c>
      <c r="J249" s="6" t="n"/>
      <c r="K249" s="6" t="n"/>
      <c r="L249" s="7" t="n"/>
      <c r="M249" s="8" t="n"/>
      <c r="N249" s="8" t="n"/>
      <c r="O249" s="8" t="n"/>
      <c r="P249" s="23" t="n"/>
      <c r="Q249" s="23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9" t="n"/>
      <c r="AA249" s="8" t="n"/>
      <c r="AB249" s="8" t="n"/>
      <c r="AC249" s="8" t="n"/>
      <c r="AD249" s="8" t="n"/>
      <c r="AE249" s="8" t="n"/>
      <c r="AF249" s="8" t="n"/>
      <c r="AG249" s="9" t="n"/>
      <c r="AH249" s="8" t="n"/>
      <c r="AI249" s="8" t="n"/>
      <c r="AJ249" s="9" t="n"/>
      <c r="AK249" s="56">
        <f>COUNTA(L249:AJ249)</f>
        <v/>
      </c>
      <c r="AL249" s="95" t="n"/>
      <c r="AM249" s="10" t="n"/>
      <c r="AN249" s="10" t="n"/>
      <c r="AO249" s="17" t="n"/>
      <c r="AP249" s="19" t="n"/>
      <c r="AQ249" s="20" t="n"/>
      <c r="AR249" s="21" t="n"/>
      <c r="AS249" s="13" t="n"/>
      <c r="AT249" s="13" t="n"/>
      <c r="AU249" s="13" t="n"/>
    </row>
    <row r="250" ht="110.1" customHeight="1" s="110" thickBot="1">
      <c r="A250" s="79" t="n">
        <v>215</v>
      </c>
      <c r="B250" s="213" t="inlineStr">
        <is>
          <t xml:space="preserve">Where?
What?　
How?　
Other info? </t>
        </is>
      </c>
      <c r="C250" s="200" t="n"/>
      <c r="D250" s="200" t="n"/>
      <c r="E250" s="200" t="n"/>
      <c r="F250" s="201" t="n"/>
      <c r="G250" s="4" t="n"/>
      <c r="H250" s="4" t="n"/>
      <c r="I250" s="78">
        <f>AK250</f>
        <v/>
      </c>
      <c r="J250" s="6" t="n"/>
      <c r="K250" s="6" t="n"/>
      <c r="L250" s="7" t="n"/>
      <c r="M250" s="8" t="n"/>
      <c r="N250" s="8" t="n"/>
      <c r="O250" s="8" t="n"/>
      <c r="P250" s="23" t="n"/>
      <c r="Q250" s="23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9" t="n"/>
      <c r="AA250" s="8" t="n"/>
      <c r="AB250" s="8" t="n"/>
      <c r="AC250" s="8" t="n"/>
      <c r="AD250" s="8" t="n"/>
      <c r="AE250" s="8" t="n"/>
      <c r="AF250" s="8" t="n"/>
      <c r="AG250" s="9" t="n"/>
      <c r="AH250" s="8" t="n"/>
      <c r="AI250" s="8" t="n"/>
      <c r="AJ250" s="9" t="n"/>
      <c r="AK250" s="56">
        <f>COUNTA(L250:AJ250)</f>
        <v/>
      </c>
      <c r="AL250" s="95" t="n"/>
      <c r="AM250" s="10" t="n"/>
      <c r="AN250" s="10" t="n"/>
      <c r="AO250" s="21" t="n"/>
      <c r="AP250" s="21" t="n"/>
      <c r="AQ250" s="21" t="n"/>
      <c r="AR250" s="21" t="n"/>
      <c r="AS250" s="13" t="n"/>
      <c r="AT250" s="13" t="n"/>
      <c r="AU250" s="13" t="n"/>
    </row>
    <row r="251" ht="110.1" customHeight="1" s="110" thickBot="1">
      <c r="A251" s="79" t="n">
        <v>216</v>
      </c>
      <c r="B251" s="213" t="inlineStr">
        <is>
          <t xml:space="preserve">Where?
What?　
How?　
Other info? </t>
        </is>
      </c>
      <c r="C251" s="200" t="n"/>
      <c r="D251" s="200" t="n"/>
      <c r="E251" s="200" t="n"/>
      <c r="F251" s="201" t="n"/>
      <c r="G251" s="4" t="n"/>
      <c r="H251" s="4" t="n"/>
      <c r="I251" s="78">
        <f>AK251</f>
        <v/>
      </c>
      <c r="J251" s="6" t="n"/>
      <c r="K251" s="6" t="n"/>
      <c r="L251" s="7" t="n"/>
      <c r="M251" s="8" t="n"/>
      <c r="N251" s="8" t="n"/>
      <c r="O251" s="8" t="n"/>
      <c r="P251" s="23" t="n"/>
      <c r="Q251" s="23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9" t="n"/>
      <c r="AA251" s="8" t="n"/>
      <c r="AB251" s="8" t="n"/>
      <c r="AC251" s="8" t="n"/>
      <c r="AD251" s="8" t="n"/>
      <c r="AE251" s="8" t="n"/>
      <c r="AF251" s="8" t="n"/>
      <c r="AG251" s="9" t="n"/>
      <c r="AH251" s="8" t="n"/>
      <c r="AI251" s="8" t="n"/>
      <c r="AJ251" s="9" t="n"/>
      <c r="AK251" s="56">
        <f>COUNTA(L251:AJ251)</f>
        <v/>
      </c>
      <c r="AL251" s="95" t="n"/>
      <c r="AM251" s="10" t="n"/>
      <c r="AN251" s="10" t="n"/>
      <c r="AO251" s="21" t="n"/>
      <c r="AP251" s="21" t="n"/>
      <c r="AQ251" s="21" t="n"/>
      <c r="AR251" s="21" t="n"/>
      <c r="AS251" s="13" t="n"/>
      <c r="AT251" s="13" t="n"/>
      <c r="AU251" s="13" t="n"/>
    </row>
    <row r="252" ht="110.1" customHeight="1" s="110" thickBot="1">
      <c r="A252" s="79" t="n">
        <v>217</v>
      </c>
      <c r="B252" s="213" t="inlineStr">
        <is>
          <t xml:space="preserve">Where?
What?　
How?　
Other info? </t>
        </is>
      </c>
      <c r="C252" s="200" t="n"/>
      <c r="D252" s="200" t="n"/>
      <c r="E252" s="200" t="n"/>
      <c r="F252" s="201" t="n"/>
      <c r="G252" s="4" t="n"/>
      <c r="H252" s="4" t="n"/>
      <c r="I252" s="78">
        <f>AK252</f>
        <v/>
      </c>
      <c r="J252" s="6" t="n"/>
      <c r="K252" s="6" t="n"/>
      <c r="L252" s="7" t="n"/>
      <c r="M252" s="8" t="n"/>
      <c r="N252" s="8" t="n"/>
      <c r="O252" s="8" t="n"/>
      <c r="P252" s="23" t="n"/>
      <c r="Q252" s="23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9" t="n"/>
      <c r="AA252" s="8" t="n"/>
      <c r="AB252" s="8" t="n"/>
      <c r="AC252" s="8" t="n"/>
      <c r="AD252" s="8" t="n"/>
      <c r="AE252" s="8" t="n"/>
      <c r="AF252" s="8" t="n"/>
      <c r="AG252" s="9" t="n"/>
      <c r="AH252" s="8" t="n"/>
      <c r="AI252" s="8" t="n"/>
      <c r="AJ252" s="9" t="n"/>
      <c r="AK252" s="56">
        <f>COUNTA(L252:AJ252)</f>
        <v/>
      </c>
      <c r="AL252" s="95" t="n"/>
      <c r="AM252" s="10" t="n"/>
      <c r="AN252" s="10" t="n"/>
      <c r="AO252" s="21" t="n"/>
      <c r="AP252" s="21" t="n"/>
      <c r="AQ252" s="21" t="n"/>
      <c r="AR252" s="21" t="n"/>
      <c r="AS252" s="13" t="n"/>
      <c r="AT252" s="13" t="n"/>
      <c r="AU252" s="13" t="n"/>
    </row>
    <row r="253" ht="110.1" customHeight="1" s="110" thickBot="1">
      <c r="A253" s="79" t="n">
        <v>218</v>
      </c>
      <c r="B253" s="213" t="inlineStr">
        <is>
          <t xml:space="preserve">Where?
What?　
How?　
Other info? </t>
        </is>
      </c>
      <c r="C253" s="200" t="n"/>
      <c r="D253" s="200" t="n"/>
      <c r="E253" s="200" t="n"/>
      <c r="F253" s="201" t="n"/>
      <c r="G253" s="4" t="n"/>
      <c r="H253" s="4" t="n"/>
      <c r="I253" s="78">
        <f>AK253</f>
        <v/>
      </c>
      <c r="J253" s="6" t="n"/>
      <c r="K253" s="6" t="n"/>
      <c r="L253" s="7" t="n"/>
      <c r="M253" s="8" t="n"/>
      <c r="N253" s="8" t="n"/>
      <c r="O253" s="8" t="n"/>
      <c r="P253" s="23" t="n"/>
      <c r="Q253" s="23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9" t="n"/>
      <c r="AA253" s="8" t="n"/>
      <c r="AB253" s="8" t="n"/>
      <c r="AC253" s="8" t="n"/>
      <c r="AD253" s="8" t="n"/>
      <c r="AE253" s="8" t="n"/>
      <c r="AF253" s="8" t="n"/>
      <c r="AG253" s="9" t="n"/>
      <c r="AH253" s="8" t="n"/>
      <c r="AI253" s="8" t="n"/>
      <c r="AJ253" s="9" t="n"/>
      <c r="AK253" s="56">
        <f>COUNTA(L253:AJ253)</f>
        <v/>
      </c>
      <c r="AL253" s="95" t="n"/>
      <c r="AM253" s="10" t="n"/>
      <c r="AN253" s="10" t="n"/>
      <c r="AO253" s="21" t="n"/>
      <c r="AP253" s="21" t="n"/>
      <c r="AQ253" s="21" t="n"/>
      <c r="AR253" s="21" t="n"/>
      <c r="AS253" s="13" t="n"/>
      <c r="AT253" s="13" t="n"/>
      <c r="AU253" s="13" t="n"/>
    </row>
    <row r="254" ht="110.1" customHeight="1" s="110" thickBot="1">
      <c r="A254" s="79" t="n">
        <v>219</v>
      </c>
      <c r="B254" s="213" t="inlineStr">
        <is>
          <t xml:space="preserve">Where?
What?　
How?　
Other info? </t>
        </is>
      </c>
      <c r="C254" s="200" t="n"/>
      <c r="D254" s="200" t="n"/>
      <c r="E254" s="200" t="n"/>
      <c r="F254" s="201" t="n"/>
      <c r="G254" s="4" t="n"/>
      <c r="H254" s="4" t="n"/>
      <c r="I254" s="78">
        <f>AK254</f>
        <v/>
      </c>
      <c r="J254" s="6" t="n"/>
      <c r="K254" s="6" t="n"/>
      <c r="L254" s="7" t="n"/>
      <c r="M254" s="8" t="n"/>
      <c r="N254" s="8" t="n"/>
      <c r="O254" s="8" t="n"/>
      <c r="P254" s="23" t="n"/>
      <c r="Q254" s="23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9" t="n"/>
      <c r="AA254" s="8" t="n"/>
      <c r="AB254" s="8" t="n"/>
      <c r="AC254" s="8" t="n"/>
      <c r="AD254" s="8" t="n"/>
      <c r="AE254" s="8" t="n"/>
      <c r="AF254" s="8" t="n"/>
      <c r="AG254" s="9" t="n"/>
      <c r="AH254" s="8" t="n"/>
      <c r="AI254" s="8" t="n"/>
      <c r="AJ254" s="9" t="n"/>
      <c r="AK254" s="56">
        <f>COUNTA(L254:AJ254)</f>
        <v/>
      </c>
      <c r="AL254" s="95" t="n"/>
      <c r="AM254" s="10" t="n"/>
      <c r="AN254" s="10" t="n"/>
      <c r="AO254" s="21" t="n"/>
      <c r="AP254" s="21" t="n"/>
      <c r="AQ254" s="21" t="n"/>
      <c r="AR254" s="21" t="n"/>
      <c r="AS254" s="13" t="n"/>
      <c r="AT254" s="13" t="n"/>
      <c r="AU254" s="13" t="n"/>
    </row>
    <row r="255" ht="110.1" customHeight="1" s="110" thickBot="1">
      <c r="A255" s="79" t="n">
        <v>220</v>
      </c>
      <c r="B255" s="213" t="inlineStr">
        <is>
          <t xml:space="preserve">Where?
What?　
How?　
Other info? </t>
        </is>
      </c>
      <c r="C255" s="200" t="n"/>
      <c r="D255" s="200" t="n"/>
      <c r="E255" s="200" t="n"/>
      <c r="F255" s="201" t="n"/>
      <c r="G255" s="4" t="n"/>
      <c r="H255" s="4" t="n"/>
      <c r="I255" s="78">
        <f>AK255</f>
        <v/>
      </c>
      <c r="J255" s="6" t="n"/>
      <c r="K255" s="6" t="n"/>
      <c r="L255" s="7" t="n"/>
      <c r="M255" s="8" t="n"/>
      <c r="N255" s="8" t="n"/>
      <c r="O255" s="8" t="n"/>
      <c r="P255" s="23" t="n"/>
      <c r="Q255" s="23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9" t="n"/>
      <c r="AA255" s="8" t="n"/>
      <c r="AB255" s="8" t="n"/>
      <c r="AC255" s="8" t="n"/>
      <c r="AD255" s="8" t="n"/>
      <c r="AE255" s="8" t="n"/>
      <c r="AF255" s="8" t="n"/>
      <c r="AG255" s="9" t="n"/>
      <c r="AH255" s="8" t="n"/>
      <c r="AI255" s="8" t="n"/>
      <c r="AJ255" s="9" t="n"/>
      <c r="AK255" s="56">
        <f>COUNTA(L255:AJ255)</f>
        <v/>
      </c>
      <c r="AL255" s="95" t="n"/>
      <c r="AM255" s="10" t="n"/>
      <c r="AN255" s="10" t="n"/>
      <c r="AO255" s="21" t="n"/>
      <c r="AP255" s="21" t="n"/>
      <c r="AQ255" s="21" t="n"/>
      <c r="AR255" s="21" t="n"/>
      <c r="AS255" s="13" t="n"/>
      <c r="AT255" s="13" t="n"/>
      <c r="AU255" s="13" t="n"/>
    </row>
    <row r="256" ht="15.95" customHeight="1" s="110">
      <c r="L256" s="53" t="inlineStr">
        <is>
          <t>A</t>
        </is>
      </c>
      <c r="R256" s="53" t="n"/>
      <c r="S256" s="53" t="n"/>
      <c r="T256" s="53" t="n"/>
      <c r="U256" s="53" t="n"/>
      <c r="V256" s="53" t="n"/>
      <c r="AA256" s="53" t="n"/>
      <c r="AB256" s="53" t="n"/>
      <c r="AC256" s="53" t="n"/>
      <c r="AL256" s="52" t="inlineStr">
        <is>
          <t>Weld Shop</t>
        </is>
      </c>
      <c r="AM256" s="52" t="inlineStr">
        <is>
          <t>Safety</t>
        </is>
      </c>
      <c r="AN256" s="57" t="inlineStr">
        <is>
          <t>Over Tightening</t>
        </is>
      </c>
    </row>
    <row r="257" ht="15.95" customHeight="1" s="110">
      <c r="L257" s="53" t="inlineStr">
        <is>
          <t>B</t>
        </is>
      </c>
      <c r="R257" s="53" t="n"/>
      <c r="S257" s="53" t="n"/>
      <c r="T257" s="53" t="n"/>
      <c r="U257" s="53" t="n"/>
      <c r="V257" s="53" t="n"/>
      <c r="AA257" s="53" t="n"/>
      <c r="AB257" s="53" t="n"/>
      <c r="AC257" s="53" t="n"/>
      <c r="AL257" s="52" t="inlineStr">
        <is>
          <t>Paint Shop</t>
        </is>
      </c>
      <c r="AM257" s="52" t="inlineStr">
        <is>
          <t>Functional</t>
        </is>
      </c>
      <c r="AN257" s="57" t="inlineStr">
        <is>
          <t>Looseness</t>
        </is>
      </c>
    </row>
    <row r="258" ht="15.95" customHeight="1" s="110">
      <c r="L258" s="53" t="inlineStr">
        <is>
          <t>C</t>
        </is>
      </c>
      <c r="AL258" s="52" t="inlineStr">
        <is>
          <t>Assembly Shop</t>
        </is>
      </c>
      <c r="AM258" s="52" t="inlineStr">
        <is>
          <t>Loosenes</t>
        </is>
      </c>
      <c r="AN258" s="59" t="inlineStr">
        <is>
          <t>Scratch</t>
        </is>
      </c>
    </row>
    <row r="259" ht="15.95" customHeight="1" s="110">
      <c r="L259" s="53" t="inlineStr">
        <is>
          <t>D</t>
        </is>
      </c>
      <c r="AL259" s="52" t="inlineStr">
        <is>
          <t>Tester Line</t>
        </is>
      </c>
      <c r="AM259" s="52" t="inlineStr">
        <is>
          <t>Minor Aesthetics</t>
        </is>
      </c>
      <c r="AN259" s="59" t="inlineStr">
        <is>
          <t>Rust</t>
        </is>
      </c>
    </row>
    <row r="260" ht="15.95" customHeight="1" s="110">
      <c r="Y260" s="60" t="n"/>
      <c r="AF260" s="60" t="n"/>
      <c r="AI260" s="60" t="n"/>
      <c r="AL260" s="52" t="inlineStr">
        <is>
          <t>Final Confirmation</t>
        </is>
      </c>
      <c r="AM260" s="52" t="inlineStr">
        <is>
          <t>Major Aesthetics</t>
        </is>
      </c>
      <c r="AN260" s="59" t="inlineStr">
        <is>
          <t>Improperly installed</t>
        </is>
      </c>
    </row>
    <row r="261" ht="15.95" customHeight="1" s="110">
      <c r="AL261" s="52" t="inlineStr">
        <is>
          <t>QA Receiving</t>
        </is>
      </c>
      <c r="AM261" s="52" t="inlineStr">
        <is>
          <t>Loosenes</t>
        </is>
      </c>
      <c r="AN261" s="59" t="inlineStr">
        <is>
          <t>Weld Spot Burr</t>
        </is>
      </c>
    </row>
    <row r="262" ht="15.95" customHeight="1" s="110">
      <c r="AL262" s="52" t="inlineStr">
        <is>
          <t>CKD</t>
        </is>
      </c>
      <c r="AM262" s="61" t="n"/>
      <c r="AN262" s="59" t="inlineStr">
        <is>
          <t>Weld Spot Miss</t>
        </is>
      </c>
    </row>
    <row r="263" ht="15.95" customHeight="1" s="110">
      <c r="AM263" s="61" t="n"/>
      <c r="AN263" s="59" t="inlineStr">
        <is>
          <t>Sag</t>
        </is>
      </c>
    </row>
    <row r="264" ht="15.95" customHeight="1" s="110">
      <c r="AM264" s="61" t="n"/>
      <c r="AN264" s="59" t="inlineStr">
        <is>
          <t>Run</t>
        </is>
      </c>
    </row>
    <row r="265" ht="15.95" customHeight="1" s="110">
      <c r="AM265" s="61" t="n"/>
      <c r="AN265" s="59" t="inlineStr">
        <is>
          <t>Dent</t>
        </is>
      </c>
    </row>
    <row r="266" ht="15.95" customHeight="1" s="110">
      <c r="AM266" s="61" t="n"/>
      <c r="AN266" s="59" t="inlineStr">
        <is>
          <t>Bump</t>
        </is>
      </c>
    </row>
    <row r="267" ht="15.95" customHeight="1" s="110">
      <c r="AM267" s="61" t="n"/>
      <c r="AN267" s="59" t="inlineStr">
        <is>
          <t>Spot Miss</t>
        </is>
      </c>
    </row>
    <row r="268" ht="15.95" customHeight="1" s="110">
      <c r="AM268" s="61" t="n"/>
      <c r="AN268" s="59" t="inlineStr">
        <is>
          <t>Seepage</t>
        </is>
      </c>
    </row>
    <row r="269" ht="15.95" customHeight="1" s="110">
      <c r="AM269" s="61" t="n"/>
      <c r="AN269" s="59" t="inlineStr">
        <is>
          <t>Leakage</t>
        </is>
      </c>
    </row>
    <row r="270" ht="15.95" customHeight="1" s="110">
      <c r="AM270" s="61" t="n"/>
      <c r="AN270" s="59" t="inlineStr">
        <is>
          <t>Crater</t>
        </is>
      </c>
    </row>
    <row r="271" ht="15.95" customHeight="1" s="110">
      <c r="AM271" s="61" t="n"/>
      <c r="AN271" s="59" t="inlineStr">
        <is>
          <t>Thin Paint</t>
        </is>
      </c>
    </row>
    <row r="272" ht="15.95" customHeight="1" s="110">
      <c r="AM272" s="61" t="n"/>
      <c r="AN272" s="57" t="inlineStr">
        <is>
          <t>Part Miss</t>
        </is>
      </c>
    </row>
    <row r="273" ht="15.95" customHeight="1" s="110">
      <c r="AM273" s="61" t="n"/>
      <c r="AN273" s="59" t="inlineStr">
        <is>
          <t>Harness Routing Wrong</t>
        </is>
      </c>
    </row>
    <row r="274" ht="15.95" customHeight="1" s="110">
      <c r="AM274" s="61" t="n"/>
      <c r="AN274" s="59" t="inlineStr">
        <is>
          <t>Wrong Part</t>
        </is>
      </c>
    </row>
    <row r="275" ht="15.95" customHeight="1" s="110">
      <c r="AM275" s="61" t="n"/>
      <c r="AN275" s="59" t="inlineStr">
        <is>
          <t>Deformation</t>
        </is>
      </c>
    </row>
    <row r="276" ht="15.95" customHeight="1" s="110">
      <c r="AM276" s="61" t="n"/>
      <c r="AN276" s="59" t="inlineStr">
        <is>
          <t>Gap NG</t>
        </is>
      </c>
    </row>
    <row r="277" ht="15.95" customHeight="1" s="110">
      <c r="AM277" s="61" t="n"/>
      <c r="AN277" s="59" t="inlineStr">
        <is>
          <t>Indicator not work</t>
        </is>
      </c>
    </row>
    <row r="278" ht="15.95" customHeight="1" s="110">
      <c r="AM278" s="61" t="n"/>
      <c r="AN278" s="59" t="inlineStr">
        <is>
          <t>Wrinkles</t>
        </is>
      </c>
    </row>
    <row r="279" ht="15.95" customHeight="1" s="110">
      <c r="AM279" s="61" t="n"/>
      <c r="AN279" s="59" t="inlineStr">
        <is>
          <t>Torque Mark Miss</t>
        </is>
      </c>
    </row>
    <row r="280" ht="15.95" customHeight="1" s="110">
      <c r="AM280" s="61" t="n"/>
      <c r="AN280" s="57" t="inlineStr">
        <is>
          <t>Other</t>
        </is>
      </c>
    </row>
  </sheetData>
  <autoFilter ref="G35:AN280"/>
  <mergeCells count="279">
    <mergeCell ref="B106:F106"/>
    <mergeCell ref="B129:F129"/>
    <mergeCell ref="B200:F200"/>
    <mergeCell ref="B81:F81"/>
    <mergeCell ref="B209:F209"/>
    <mergeCell ref="B194:F194"/>
    <mergeCell ref="B252:F252"/>
    <mergeCell ref="B90:F90"/>
    <mergeCell ref="H10:I10"/>
    <mergeCell ref="B122:F122"/>
    <mergeCell ref="B71:F71"/>
    <mergeCell ref="B184:F184"/>
    <mergeCell ref="B131:F131"/>
    <mergeCell ref="B236:F236"/>
    <mergeCell ref="AT33:AT34"/>
    <mergeCell ref="B214:F214"/>
    <mergeCell ref="H9:I9"/>
    <mergeCell ref="B58:F58"/>
    <mergeCell ref="B52:F52"/>
    <mergeCell ref="B180:F180"/>
    <mergeCell ref="B238:F238"/>
    <mergeCell ref="B223:F223"/>
    <mergeCell ref="B195:F195"/>
    <mergeCell ref="B42:F42"/>
    <mergeCell ref="R6:S6"/>
    <mergeCell ref="B253:F253"/>
    <mergeCell ref="B33:F34"/>
    <mergeCell ref="B60:F60"/>
    <mergeCell ref="B231:F231"/>
    <mergeCell ref="B170:F170"/>
    <mergeCell ref="B179:F179"/>
    <mergeCell ref="B157:F157"/>
    <mergeCell ref="B250:F250"/>
    <mergeCell ref="B53:F53"/>
    <mergeCell ref="B44:F44"/>
    <mergeCell ref="B166:F166"/>
    <mergeCell ref="L33:AK33"/>
    <mergeCell ref="G33:G34"/>
    <mergeCell ref="B234:F234"/>
    <mergeCell ref="B116:F116"/>
    <mergeCell ref="B172:F172"/>
    <mergeCell ref="A33:A34"/>
    <mergeCell ref="H30:J30"/>
    <mergeCell ref="B37:F37"/>
    <mergeCell ref="B174:F174"/>
    <mergeCell ref="B108:F108"/>
    <mergeCell ref="B230:F230"/>
    <mergeCell ref="B168:F168"/>
    <mergeCell ref="B186:F186"/>
    <mergeCell ref="B84:F84"/>
    <mergeCell ref="H13:I13"/>
    <mergeCell ref="H29:J29"/>
    <mergeCell ref="B143:F143"/>
    <mergeCell ref="B118:F118"/>
    <mergeCell ref="B92:F92"/>
    <mergeCell ref="B158:F158"/>
    <mergeCell ref="B241:F241"/>
    <mergeCell ref="B133:F133"/>
    <mergeCell ref="B142:F142"/>
    <mergeCell ref="H15:I15"/>
    <mergeCell ref="B80:F80"/>
    <mergeCell ref="H31:J31"/>
    <mergeCell ref="B213:F213"/>
    <mergeCell ref="B94:F94"/>
    <mergeCell ref="H23:I23"/>
    <mergeCell ref="B160:F160"/>
    <mergeCell ref="AM33:AM34"/>
    <mergeCell ref="B135:F135"/>
    <mergeCell ref="B144:F144"/>
    <mergeCell ref="B233:F233"/>
    <mergeCell ref="B227:F227"/>
    <mergeCell ref="B242:F242"/>
    <mergeCell ref="B224:F224"/>
    <mergeCell ref="B54:F54"/>
    <mergeCell ref="B125:F125"/>
    <mergeCell ref="B72:F72"/>
    <mergeCell ref="B185:F185"/>
    <mergeCell ref="B134:F134"/>
    <mergeCell ref="B199:F199"/>
    <mergeCell ref="AN33:AN34"/>
    <mergeCell ref="B208:F208"/>
    <mergeCell ref="B121:F121"/>
    <mergeCell ref="AP33:AP34"/>
    <mergeCell ref="M5:Q5"/>
    <mergeCell ref="B96:F96"/>
    <mergeCell ref="B56:F56"/>
    <mergeCell ref="B167:F167"/>
    <mergeCell ref="B70:F70"/>
    <mergeCell ref="B105:F105"/>
    <mergeCell ref="B219:F219"/>
    <mergeCell ref="B43:F43"/>
    <mergeCell ref="B176:F176"/>
    <mergeCell ref="H25:I25"/>
    <mergeCell ref="B228:F228"/>
    <mergeCell ref="M2:Q2"/>
    <mergeCell ref="B210:F210"/>
    <mergeCell ref="B111:F111"/>
    <mergeCell ref="B120:F120"/>
    <mergeCell ref="B98:F98"/>
    <mergeCell ref="B107:F107"/>
    <mergeCell ref="I33:I34"/>
    <mergeCell ref="B175:F175"/>
    <mergeCell ref="B88:F88"/>
    <mergeCell ref="B57:F57"/>
    <mergeCell ref="H17:I17"/>
    <mergeCell ref="B82:F82"/>
    <mergeCell ref="B148:F148"/>
    <mergeCell ref="B162:F162"/>
    <mergeCell ref="H11:I11"/>
    <mergeCell ref="B171:F171"/>
    <mergeCell ref="B146:F146"/>
    <mergeCell ref="H19:I19"/>
    <mergeCell ref="B217:F217"/>
    <mergeCell ref="B99:F99"/>
    <mergeCell ref="B74:F74"/>
    <mergeCell ref="B187:F187"/>
    <mergeCell ref="H3:I3"/>
    <mergeCell ref="B68:F68"/>
    <mergeCell ref="B83:F83"/>
    <mergeCell ref="B254:F254"/>
    <mergeCell ref="H12:I12"/>
    <mergeCell ref="B239:F239"/>
    <mergeCell ref="B124:F124"/>
    <mergeCell ref="B207:F207"/>
    <mergeCell ref="B251:F251"/>
    <mergeCell ref="B76:F76"/>
    <mergeCell ref="B204:F204"/>
    <mergeCell ref="B45:F45"/>
    <mergeCell ref="B216:F216"/>
    <mergeCell ref="B85:F85"/>
    <mergeCell ref="B189:F189"/>
    <mergeCell ref="H14:I14"/>
    <mergeCell ref="B198:F198"/>
    <mergeCell ref="AS33:AS34"/>
    <mergeCell ref="AU33:AU34"/>
    <mergeCell ref="H5:I5"/>
    <mergeCell ref="B173:F173"/>
    <mergeCell ref="B188:F188"/>
    <mergeCell ref="B126:F126"/>
    <mergeCell ref="H28:K28"/>
    <mergeCell ref="B75:F75"/>
    <mergeCell ref="B109:F109"/>
    <mergeCell ref="B47:F47"/>
    <mergeCell ref="B62:F62"/>
    <mergeCell ref="B218:F218"/>
    <mergeCell ref="B232:F232"/>
    <mergeCell ref="B141:F141"/>
    <mergeCell ref="B59:F59"/>
    <mergeCell ref="B193:F193"/>
    <mergeCell ref="B150:F150"/>
    <mergeCell ref="B190:F190"/>
    <mergeCell ref="B202:F202"/>
    <mergeCell ref="B46:F46"/>
    <mergeCell ref="B159:F159"/>
    <mergeCell ref="B215:F215"/>
    <mergeCell ref="B39:F39"/>
    <mergeCell ref="H21:I21"/>
    <mergeCell ref="B152:F152"/>
    <mergeCell ref="B48:F48"/>
    <mergeCell ref="B161:F161"/>
    <mergeCell ref="B244:F244"/>
    <mergeCell ref="B136:F136"/>
    <mergeCell ref="B229:F229"/>
    <mergeCell ref="B145:F145"/>
    <mergeCell ref="B181:F181"/>
    <mergeCell ref="B225:F225"/>
    <mergeCell ref="B191:F191"/>
    <mergeCell ref="B73:F73"/>
    <mergeCell ref="B249:F249"/>
    <mergeCell ref="B243:F243"/>
    <mergeCell ref="B87:F87"/>
    <mergeCell ref="H2:I2"/>
    <mergeCell ref="H16:I16"/>
    <mergeCell ref="B178:F178"/>
    <mergeCell ref="B147:F147"/>
    <mergeCell ref="M6:Q6"/>
    <mergeCell ref="B245:F245"/>
    <mergeCell ref="B128:F128"/>
    <mergeCell ref="AL33:AL34"/>
    <mergeCell ref="B255:F255"/>
    <mergeCell ref="B137:F137"/>
    <mergeCell ref="B226:F226"/>
    <mergeCell ref="H22:I22"/>
    <mergeCell ref="M3:Q3"/>
    <mergeCell ref="B183:F183"/>
    <mergeCell ref="B65:F65"/>
    <mergeCell ref="B192:F192"/>
    <mergeCell ref="B201:F201"/>
    <mergeCell ref="B164:F164"/>
    <mergeCell ref="B139:F139"/>
    <mergeCell ref="H33:H34"/>
    <mergeCell ref="B222:F222"/>
    <mergeCell ref="J33:J34"/>
    <mergeCell ref="B114:F114"/>
    <mergeCell ref="B63:F63"/>
    <mergeCell ref="B123:F123"/>
    <mergeCell ref="B154:F154"/>
    <mergeCell ref="B212:F212"/>
    <mergeCell ref="B206:F206"/>
    <mergeCell ref="B50:F50"/>
    <mergeCell ref="R5:S5"/>
    <mergeCell ref="B110:F110"/>
    <mergeCell ref="B163:F163"/>
    <mergeCell ref="B203:F203"/>
    <mergeCell ref="B221:F221"/>
    <mergeCell ref="M4:Q4"/>
    <mergeCell ref="B36:F36"/>
    <mergeCell ref="B138:F138"/>
    <mergeCell ref="B113:F113"/>
    <mergeCell ref="B237:F237"/>
    <mergeCell ref="B91:F91"/>
    <mergeCell ref="H20:I20"/>
    <mergeCell ref="B100:F100"/>
    <mergeCell ref="B156:F156"/>
    <mergeCell ref="K33:K34"/>
    <mergeCell ref="B165:F165"/>
    <mergeCell ref="B66:F66"/>
    <mergeCell ref="B140:F140"/>
    <mergeCell ref="B115:F115"/>
    <mergeCell ref="B155:F155"/>
    <mergeCell ref="B93:F93"/>
    <mergeCell ref="B149:F149"/>
    <mergeCell ref="H4:I4"/>
    <mergeCell ref="B220:F220"/>
    <mergeCell ref="B102:F102"/>
    <mergeCell ref="R4:S4"/>
    <mergeCell ref="B247:F247"/>
    <mergeCell ref="B130:F130"/>
    <mergeCell ref="B77:F77"/>
    <mergeCell ref="H6:I6"/>
    <mergeCell ref="B117:F117"/>
    <mergeCell ref="B86:F86"/>
    <mergeCell ref="B248:F248"/>
    <mergeCell ref="B151:F151"/>
    <mergeCell ref="B240:F240"/>
    <mergeCell ref="B235:F235"/>
    <mergeCell ref="B67:F67"/>
    <mergeCell ref="B61:F61"/>
    <mergeCell ref="AO33:AO34"/>
    <mergeCell ref="B132:F132"/>
    <mergeCell ref="B101:F101"/>
    <mergeCell ref="AQ33:AQ34"/>
    <mergeCell ref="B119:F119"/>
    <mergeCell ref="B69:F69"/>
    <mergeCell ref="B182:F182"/>
    <mergeCell ref="B38:F38"/>
    <mergeCell ref="B103:F103"/>
    <mergeCell ref="B78:F78"/>
    <mergeCell ref="B196:F196"/>
    <mergeCell ref="H7:I7"/>
    <mergeCell ref="B112:F112"/>
    <mergeCell ref="B205:F205"/>
    <mergeCell ref="AR33:AR34"/>
    <mergeCell ref="R3:S3"/>
    <mergeCell ref="B246:F246"/>
    <mergeCell ref="B127:F127"/>
    <mergeCell ref="B40:F40"/>
    <mergeCell ref="B211:F211"/>
    <mergeCell ref="H27:I27"/>
    <mergeCell ref="B49:F49"/>
    <mergeCell ref="B55:F55"/>
    <mergeCell ref="B95:F95"/>
    <mergeCell ref="B64:F64"/>
    <mergeCell ref="B177:F177"/>
    <mergeCell ref="B89:F89"/>
    <mergeCell ref="B104:F104"/>
    <mergeCell ref="H18:I18"/>
    <mergeCell ref="R2:S2"/>
    <mergeCell ref="B51:F51"/>
    <mergeCell ref="B169:F169"/>
    <mergeCell ref="H26:I26"/>
    <mergeCell ref="H24:I24"/>
    <mergeCell ref="B79:F79"/>
    <mergeCell ref="H8:I8"/>
    <mergeCell ref="B197:F197"/>
    <mergeCell ref="B41:F41"/>
    <mergeCell ref="B97:F97"/>
    <mergeCell ref="B153:F153"/>
    <mergeCell ref="B35:F35"/>
  </mergeCells>
  <dataValidations count="4">
    <dataValidation sqref="K128 K238 L36:AJ255" showDropDown="0" showInputMessage="1" showErrorMessage="1" allowBlank="1" type="list">
      <formula1>$L$256:$L$259</formula1>
    </dataValidation>
    <dataValidation sqref="AN36:AN255" showDropDown="0" showInputMessage="1" showErrorMessage="1" allowBlank="1" type="list">
      <formula1>$AN$256:$AN$280</formula1>
    </dataValidation>
    <dataValidation sqref="AL36:AL255" showDropDown="0" showInputMessage="1" showErrorMessage="1" allowBlank="1" type="list">
      <formula1>$AL$256:$AL$262</formula1>
    </dataValidation>
    <dataValidation sqref="AM36:AM255" showDropDown="0" showInputMessage="1" showErrorMessage="1" allowBlank="1" type="list">
      <formula1>$AM$256:$AM$260</formula1>
    </dataValidation>
  </dataValidations>
  <pageMargins left="0.3937007874015748" right="0" top="0.3937007874015748" bottom="0.3937007874015748" header="0.1968503937007874" footer="0.1968503937007874"/>
  <pageSetup orientation="landscape" paperSize="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Z37"/>
  <sheetViews>
    <sheetView workbookViewId="0">
      <selection activeCell="E40" sqref="E40"/>
    </sheetView>
  </sheetViews>
  <sheetFormatPr baseColWidth="8" defaultRowHeight="13.5"/>
  <cols>
    <col width="20.75" customWidth="1" style="110" min="1" max="1"/>
    <col width="11.25" customWidth="1" style="110" min="2" max="2"/>
    <col width="2.125" customWidth="1" style="110" min="3" max="3"/>
    <col width="5.25" customWidth="1" style="110" min="4" max="5"/>
    <col width="2.125" customWidth="1" style="110" min="6" max="10"/>
    <col width="3" bestFit="1" customWidth="1" style="110" min="11" max="16"/>
    <col width="5.25" customWidth="1" style="110" min="17" max="17"/>
    <col width="16.125" bestFit="1" customWidth="1" style="110" min="21" max="21"/>
    <col width="12.375" bestFit="1" customWidth="1" style="110" min="22" max="22"/>
    <col width="17.25" bestFit="1" customWidth="1" style="110" min="25" max="25"/>
    <col width="11.125" bestFit="1" customWidth="1" style="110" min="26" max="26"/>
  </cols>
  <sheetData>
    <row r="3">
      <c r="A3" s="1" t="inlineStr">
        <is>
          <t>データの個数 / Class</t>
        </is>
      </c>
      <c r="B3" s="1" t="inlineStr">
        <is>
          <t>列ラベル</t>
        </is>
      </c>
      <c r="U3" s="1" t="inlineStr">
        <is>
          <t>Row Labels</t>
        </is>
      </c>
      <c r="V3" t="inlineStr">
        <is>
          <t>Sum of QTY</t>
        </is>
      </c>
      <c r="Y3" s="1" t="inlineStr">
        <is>
          <t>Row Labels</t>
        </is>
      </c>
      <c r="Z3" t="inlineStr">
        <is>
          <t>Count of 0</t>
        </is>
      </c>
    </row>
    <row r="4">
      <c r="A4" s="1" t="inlineStr">
        <is>
          <t>行ラベル</t>
        </is>
      </c>
      <c r="B4" t="n">
        <v>2</v>
      </c>
      <c r="C4" t="n">
        <v>0</v>
      </c>
      <c r="D4" t="inlineStr">
        <is>
          <t>総計</t>
        </is>
      </c>
      <c r="U4" s="2" t="inlineStr">
        <is>
          <t>Other</t>
        </is>
      </c>
      <c r="V4" t="n">
        <v>8</v>
      </c>
      <c r="Y4" s="2" t="inlineStr">
        <is>
          <t>Assembly Shop</t>
        </is>
      </c>
      <c r="Z4" t="n">
        <v>1</v>
      </c>
    </row>
    <row r="5">
      <c r="A5" s="2" t="inlineStr">
        <is>
          <t>合い沿い/Fitting</t>
        </is>
      </c>
      <c r="B5" t="n">
        <v>1</v>
      </c>
      <c r="D5" t="n">
        <v>1</v>
      </c>
      <c r="U5" s="2" t="inlineStr">
        <is>
          <t>Rust</t>
        </is>
      </c>
      <c r="V5" t="n">
        <v>4</v>
      </c>
      <c r="Y5" s="2" t="inlineStr">
        <is>
          <t>CKD</t>
        </is>
      </c>
      <c r="Z5" t="n">
        <v>1</v>
      </c>
    </row>
    <row r="6">
      <c r="A6" s="2" t="inlineStr">
        <is>
          <t>(空白)</t>
        </is>
      </c>
      <c r="U6" s="2" t="inlineStr">
        <is>
          <t>Over Tightening</t>
        </is>
      </c>
      <c r="V6" t="n">
        <v>4</v>
      </c>
      <c r="Y6" s="2" t="inlineStr">
        <is>
          <t>Final Confirmation</t>
        </is>
      </c>
      <c r="Z6" t="n">
        <v>1</v>
      </c>
    </row>
    <row r="7">
      <c r="A7" s="2" t="inlineStr">
        <is>
          <t>総計</t>
        </is>
      </c>
      <c r="B7" t="n">
        <v>1</v>
      </c>
      <c r="D7" t="n">
        <v>1</v>
      </c>
      <c r="U7" s="2" t="inlineStr">
        <is>
          <t>Run</t>
        </is>
      </c>
      <c r="V7" t="n">
        <v>0</v>
      </c>
      <c r="Y7" s="2" t="inlineStr">
        <is>
          <t>Paint Shop</t>
        </is>
      </c>
      <c r="Z7" t="n">
        <v>1</v>
      </c>
    </row>
    <row r="8">
      <c r="U8" s="2" t="inlineStr">
        <is>
          <t>Seepage</t>
        </is>
      </c>
      <c r="V8" t="n">
        <v>0</v>
      </c>
      <c r="Y8" s="2" t="inlineStr">
        <is>
          <t>QA Receiving</t>
        </is>
      </c>
      <c r="Z8" t="n">
        <v>1</v>
      </c>
    </row>
    <row r="9">
      <c r="U9" s="2" t="inlineStr">
        <is>
          <t>Sag</t>
        </is>
      </c>
      <c r="V9" t="n">
        <v>0</v>
      </c>
      <c r="Y9" s="2" t="inlineStr">
        <is>
          <t>Responsible Section</t>
        </is>
      </c>
      <c r="Z9" t="n">
        <v>1</v>
      </c>
    </row>
    <row r="10">
      <c r="U10" s="2" t="inlineStr">
        <is>
          <t>Leakage</t>
        </is>
      </c>
      <c r="V10" t="n">
        <v>0</v>
      </c>
      <c r="Y10" s="2" t="inlineStr">
        <is>
          <t>Tester Line</t>
        </is>
      </c>
      <c r="Z10" t="n">
        <v>1</v>
      </c>
    </row>
    <row r="11">
      <c r="U11" s="2" t="inlineStr">
        <is>
          <t>Improperly installed</t>
        </is>
      </c>
      <c r="V11" t="n">
        <v>0</v>
      </c>
      <c r="Y11" s="2" t="inlineStr">
        <is>
          <t>Weld Shop</t>
        </is>
      </c>
      <c r="Z11" t="n">
        <v>1</v>
      </c>
    </row>
    <row r="12">
      <c r="U12" s="2" t="inlineStr">
        <is>
          <t>Looseness</t>
        </is>
      </c>
      <c r="V12" t="n">
        <v>0</v>
      </c>
      <c r="Y12" s="2" t="inlineStr">
        <is>
          <t>(blank)</t>
        </is>
      </c>
    </row>
    <row r="13">
      <c r="U13" s="2" t="inlineStr">
        <is>
          <t>Dent</t>
        </is>
      </c>
      <c r="V13" t="n">
        <v>0</v>
      </c>
      <c r="Y13" s="2" t="inlineStr">
        <is>
          <t>Grand Total</t>
        </is>
      </c>
      <c r="Z13" t="n">
        <v>8</v>
      </c>
    </row>
    <row r="14">
      <c r="U14" s="2" t="inlineStr">
        <is>
          <t>Crater</t>
        </is>
      </c>
      <c r="V14" t="n">
        <v>0</v>
      </c>
    </row>
    <row r="15">
      <c r="U15" s="2" t="inlineStr">
        <is>
          <t>Scratch</t>
        </is>
      </c>
      <c r="V15" t="n">
        <v>0</v>
      </c>
    </row>
    <row r="16">
      <c r="U16" s="2" t="inlineStr">
        <is>
          <t>Thin Paint</t>
        </is>
      </c>
      <c r="V16" t="n">
        <v>0</v>
      </c>
    </row>
    <row r="17">
      <c r="U17" s="2" t="inlineStr">
        <is>
          <t>Spot Miss</t>
        </is>
      </c>
      <c r="V17" t="n">
        <v>0</v>
      </c>
    </row>
    <row r="18">
      <c r="U18" s="2" t="inlineStr">
        <is>
          <t>Weld Spot Burr</t>
        </is>
      </c>
      <c r="V18" t="n">
        <v>0</v>
      </c>
    </row>
    <row r="19">
      <c r="U19" s="2" t="inlineStr">
        <is>
          <t>(blank)</t>
        </is>
      </c>
      <c r="V19" t="n">
        <v>0</v>
      </c>
    </row>
    <row r="20">
      <c r="U20" s="2" t="inlineStr">
        <is>
          <t>Weld Spot Miss</t>
        </is>
      </c>
      <c r="V20" t="n">
        <v>0</v>
      </c>
    </row>
    <row r="21">
      <c r="U21" s="2" t="inlineStr">
        <is>
          <t>Part Miss</t>
        </is>
      </c>
      <c r="V21" t="n">
        <v>0</v>
      </c>
    </row>
    <row r="22">
      <c r="A22" t="inlineStr">
        <is>
          <t>行ラベル</t>
        </is>
      </c>
      <c r="B22" t="n">
        <v>1</v>
      </c>
      <c r="C22" t="n">
        <v>2</v>
      </c>
      <c r="D22" t="n">
        <v>3</v>
      </c>
      <c r="E22" t="n">
        <v>4</v>
      </c>
      <c r="F22" t="n">
        <v>5</v>
      </c>
      <c r="G22" t="n">
        <v>6</v>
      </c>
      <c r="H22" t="n">
        <v>7</v>
      </c>
      <c r="I22" t="n">
        <v>8</v>
      </c>
      <c r="J22" t="n">
        <v>9</v>
      </c>
      <c r="K22" t="n">
        <v>10</v>
      </c>
      <c r="L22" t="n">
        <v>11</v>
      </c>
      <c r="M22" t="n">
        <v>12</v>
      </c>
      <c r="N22" t="n">
        <v>13</v>
      </c>
      <c r="O22" t="n">
        <v>14</v>
      </c>
      <c r="P22" t="n">
        <v>15</v>
      </c>
      <c r="Q22" t="inlineStr">
        <is>
          <t>総計</t>
        </is>
      </c>
      <c r="U22" s="2" t="inlineStr">
        <is>
          <t>Bump</t>
        </is>
      </c>
      <c r="V22" t="n">
        <v>0</v>
      </c>
    </row>
    <row r="23">
      <c r="A23" t="inlineStr">
        <is>
          <t>Improperly installed</t>
        </is>
      </c>
      <c r="B23" t="n">
        <v>11</v>
      </c>
      <c r="C23" t="n">
        <v>3</v>
      </c>
      <c r="D23" t="n">
        <v>1</v>
      </c>
      <c r="F23" t="n">
        <v>1</v>
      </c>
      <c r="G23" t="n">
        <v>1</v>
      </c>
      <c r="P23" t="n">
        <v>1</v>
      </c>
      <c r="Q23" t="n">
        <v>17</v>
      </c>
      <c r="R23">
        <f>B23+C$22*C23+D$22*D23+E$22*E23+F$22*F23+G$22*G23+H$22*H23+I$22*I23+J$22*J23+K$22*K23+L$22*L23+M$22*M23+N$22*N23+O$22*O23+P$22*P23</f>
        <v/>
      </c>
      <c r="U23" s="2" t="inlineStr">
        <is>
          <t>Routing Wrong</t>
        </is>
      </c>
      <c r="V23" t="n">
        <v>0</v>
      </c>
    </row>
    <row r="24">
      <c r="A24" t="inlineStr">
        <is>
          <t>Wiring・Piping</t>
        </is>
      </c>
      <c r="B24" t="n">
        <v>16</v>
      </c>
      <c r="C24" t="n">
        <v>2</v>
      </c>
      <c r="D24" t="n">
        <v>1</v>
      </c>
      <c r="E24" t="n">
        <v>1</v>
      </c>
      <c r="Q24" t="n">
        <v>20</v>
      </c>
      <c r="R24">
        <f>B24+C$22*C24+D$22*D24+E$22*E24+F$22*F24+G$22*G24+H$22*H24+I$22*I24+J$22*J24+K$22*K24+L$22*L24+M$22*M24+N$22*N24+O$22*O24+P$22*P24</f>
        <v/>
      </c>
      <c r="U24" s="2" t="inlineStr">
        <is>
          <t>Grand Total</t>
        </is>
      </c>
      <c r="V24" t="n">
        <v>16</v>
      </c>
    </row>
    <row r="25">
      <c r="A25" t="inlineStr">
        <is>
          <t>Scratch</t>
        </is>
      </c>
      <c r="B25" t="n">
        <v>10</v>
      </c>
      <c r="D25" t="n">
        <v>2</v>
      </c>
      <c r="E25" t="n">
        <v>2</v>
      </c>
      <c r="Q25" t="n">
        <v>14</v>
      </c>
      <c r="R25">
        <f>B25+C$22*C25+D$22*D25+E$22*E25+F$22*F25+G$22*G25+H$22*H25+I$22*I25+J$22*J25+K$22*K25+L$22*L25+M$22*M25+N$22*N25+O$22*O25+P$22*P25</f>
        <v/>
      </c>
    </row>
    <row r="26">
      <c r="A26" t="inlineStr">
        <is>
          <t>Painting</t>
        </is>
      </c>
      <c r="B26" t="n">
        <v>3</v>
      </c>
      <c r="C26" t="n">
        <v>1</v>
      </c>
      <c r="D26" t="n">
        <v>1</v>
      </c>
      <c r="E26" t="n">
        <v>1</v>
      </c>
      <c r="Q26" t="n">
        <v>6</v>
      </c>
      <c r="R26">
        <f>B26+C$22*C26+D$22*D26+E$22*E26+F$22*F26+G$22*G26+H$22*H26+I$22*I26+J$22*J26+K$22*K26+L$22*L26+M$22*M26+N$22*N26+O$22*O26+P$22*P26</f>
        <v/>
      </c>
    </row>
    <row r="27">
      <c r="A27" t="inlineStr">
        <is>
          <t>Fitting</t>
        </is>
      </c>
      <c r="B27" t="n">
        <v>3</v>
      </c>
      <c r="C27" t="n">
        <v>3</v>
      </c>
      <c r="Q27" t="n">
        <v>6</v>
      </c>
      <c r="R27">
        <f>B27+C$22*C27+D$22*D27+E$22*E27+F$22*F27+G$22*G27+H$22*H27+I$22*I27+J$22*J27+K$22*K27+L$22*L27+M$22*M27+N$22*N27+O$22*O27+P$22*P27</f>
        <v/>
      </c>
    </row>
    <row r="28">
      <c r="A28" t="inlineStr">
        <is>
          <t>Malfunction</t>
        </is>
      </c>
      <c r="B28" t="n">
        <v>2</v>
      </c>
      <c r="D28" t="n">
        <v>1</v>
      </c>
      <c r="Q28" t="n">
        <v>3</v>
      </c>
      <c r="R28">
        <f>B28+C$22*C28+D$22*D28+E$22*E28+F$22*F28+G$22*G28+H$22*H28+I$22*I28+J$22*J28+K$22*K28+L$22*L28+M$22*M28+N$22*N28+O$22*O28+P$22*P28</f>
        <v/>
      </c>
    </row>
    <row r="29">
      <c r="A29" t="inlineStr">
        <is>
          <t>Tightening</t>
        </is>
      </c>
      <c r="B29" t="n">
        <v>2</v>
      </c>
      <c r="Q29" t="n">
        <v>2</v>
      </c>
      <c r="R29">
        <f>B29+C$22*C29+D$22*D29+E$22*E29+F$22*F29+G$22*G29+H$22*H29+I$22*I29+J$22*J29+K$22*K29+L$22*L29+M$22*M29+N$22*N29+O$22*O29+P$22*P29</f>
        <v/>
      </c>
    </row>
    <row r="30">
      <c r="A30" t="inlineStr">
        <is>
          <t>Parts damage</t>
        </is>
      </c>
      <c r="B30" t="n">
        <v>1</v>
      </c>
      <c r="Q30" t="n">
        <v>1</v>
      </c>
      <c r="R30">
        <f>B30+C$22*C30+D$22*D30+E$22*E30+F$22*F30+G$22*G30+H$22*H30+I$22*I30+J$22*J30+K$22*K30+L$22*L30+M$22*M30+N$22*N30+O$22*O30+P$22*P30</f>
        <v/>
      </c>
    </row>
    <row r="31">
      <c r="R31">
        <f>B31+C$22*C31+D$22*D31+E$22*E31+F$22*F31+G$22*G31+H$22*H31+I$22*I31+J$22*J31+K$22*K31+L$22*L31+M$22*M31+N$22*N31+O$22*O31+P$22*P31</f>
        <v/>
      </c>
    </row>
    <row r="32">
      <c r="R32">
        <f>B32+C$22*C32+D$22*D32+E$22*E32+F$22*F32+G$22*G32+H$22*H32+I$22*I32+J$22*J32+K$22*K32+L$22*L32+M$22*M32+N$22*N32+O$22*O32+P$22*P32</f>
        <v/>
      </c>
    </row>
    <row r="33">
      <c r="R33">
        <f>B33+C$22*C33+D$22*D33+E$22*E33+F$22*F33+G$22*G33+H$22*H33+I$22*I33+J$22*J33+K$22*K33+L$22*L33+M$22*M33+N$22*N33+O$22*O33+P$22*P33</f>
        <v/>
      </c>
    </row>
    <row r="34">
      <c r="R34">
        <f>B34+C$22*C34+D$22*D34+E$22*E34+F$22*F34+G$22*G34+H$22*H34+I$22*I34+J$22*J34+K$22*K34+L$22*L34+M$22*M34+N$22*N34+O$22*O34+P$22*P34</f>
        <v/>
      </c>
    </row>
    <row r="35">
      <c r="R35">
        <f>B35+C$22*C35+D$22*D35+E$22*E35+F$22*F35+G$22*G35+H$22*H35+I$22*I35+J$22*J35+K$22*K35+L$22*L35+M$22*M35+N$22*N35+O$22*O35+P$22*P35</f>
        <v/>
      </c>
    </row>
    <row r="36">
      <c r="R36">
        <f>B36+C$22*C36+D$22*D36+E$22*E36+F$22*F36+G$22*G36+H$22*H36+I$22*I36+J$22*J36+K$22*K36+L$22*L36+M$22*M36+N$22*N36+O$22*O36+P$22*P36</f>
        <v/>
      </c>
    </row>
    <row r="37">
      <c r="A37" t="inlineStr">
        <is>
          <t>総計</t>
        </is>
      </c>
      <c r="B37" t="n">
        <v>48</v>
      </c>
      <c r="C37" t="n">
        <v>9</v>
      </c>
      <c r="D37" t="n">
        <v>6</v>
      </c>
      <c r="E37" t="n">
        <v>4</v>
      </c>
      <c r="F37" t="n">
        <v>1</v>
      </c>
      <c r="G37" t="n">
        <v>1</v>
      </c>
      <c r="P37" t="n">
        <v>1</v>
      </c>
      <c r="Q37" t="n">
        <v>69</v>
      </c>
      <c r="R37">
        <f>SUM(R23:R36)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26"/>
  <sheetViews>
    <sheetView tabSelected="1" topLeftCell="Q1" zoomScale="80" zoomScaleNormal="80" workbookViewId="0">
      <selection activeCell="AB1" sqref="AB1"/>
    </sheetView>
  </sheetViews>
  <sheetFormatPr baseColWidth="8" defaultRowHeight="13.5"/>
  <cols>
    <col width="9" customWidth="1" style="111" min="11" max="11"/>
    <col width="18.75" customWidth="1" style="110" min="15" max="15"/>
    <col width="9" customWidth="1" style="110" min="16" max="16"/>
    <col width="16.5" customWidth="1" style="110" min="17" max="17"/>
    <col width="15.375" customWidth="1" style="110" min="18" max="18"/>
    <col width="9" customWidth="1" style="110" min="20" max="20"/>
    <col width="4.875" customWidth="1" style="110" min="21" max="21"/>
    <col hidden="1" width="9" customWidth="1" style="110" min="22" max="24"/>
    <col width="3.375" customWidth="1" style="110" min="26" max="26"/>
    <col width="17.375" customWidth="1" style="110" min="28" max="28"/>
    <col width="15.875" customWidth="1" style="110" min="29" max="29"/>
    <col width="17.75" customWidth="1" style="110" min="30" max="30"/>
    <col width="18.25" customWidth="1" style="110" min="31" max="31"/>
    <col width="16" customWidth="1" style="110" min="32" max="32"/>
    <col width="15.25" customWidth="1" style="110" min="34" max="34"/>
  </cols>
  <sheetData>
    <row r="1" ht="39.75" customHeight="1" s="110" thickBot="1">
      <c r="A1" s="125" t="inlineStr">
        <is>
          <t>A+B</t>
        </is>
      </c>
      <c r="B1" s="126" t="inlineStr">
        <is>
          <t>Vehicle</t>
        </is>
      </c>
      <c r="C1" s="127" t="inlineStr">
        <is>
          <t xml:space="preserve">CLASS A </t>
        </is>
      </c>
      <c r="D1" s="127" t="inlineStr">
        <is>
          <t xml:space="preserve">CLASS B </t>
        </is>
      </c>
      <c r="E1" s="127" t="inlineStr">
        <is>
          <t xml:space="preserve">CLASS C </t>
        </is>
      </c>
      <c r="F1" s="127" t="inlineStr">
        <is>
          <t xml:space="preserve">CLASS D </t>
        </is>
      </c>
      <c r="G1" s="126" t="inlineStr">
        <is>
          <t>Total</t>
        </is>
      </c>
      <c r="H1" s="127" t="inlineStr">
        <is>
          <t>ZONE 
A</t>
        </is>
      </c>
      <c r="I1" s="127" t="inlineStr">
        <is>
          <t>ZONE
 B</t>
        </is>
      </c>
      <c r="J1" s="127" t="inlineStr">
        <is>
          <t>ZONE
 C</t>
        </is>
      </c>
      <c r="K1" s="128" t="inlineStr">
        <is>
          <t>ZONE
D</t>
        </is>
      </c>
      <c r="L1" s="182" t="inlineStr">
        <is>
          <t>Date</t>
        </is>
      </c>
      <c r="M1" s="214" t="n"/>
      <c r="N1" s="182" t="inlineStr">
        <is>
          <t>Model</t>
        </is>
      </c>
      <c r="O1" s="130" t="inlineStr">
        <is>
          <t>Chassis No</t>
        </is>
      </c>
      <c r="Q1" s="85" t="inlineStr">
        <is>
          <t>Defect Category</t>
        </is>
      </c>
      <c r="R1" s="86" t="inlineStr">
        <is>
          <t>QTY</t>
        </is>
      </c>
      <c r="T1" s="173" t="inlineStr">
        <is>
          <t>Defect Type</t>
        </is>
      </c>
      <c r="U1" s="185" t="n"/>
      <c r="V1" s="185" t="n"/>
      <c r="W1" s="185" t="n"/>
      <c r="X1" s="185" t="n"/>
      <c r="Y1" s="186" t="inlineStr">
        <is>
          <t>QTY</t>
        </is>
      </c>
      <c r="Z1" s="187" t="n"/>
      <c r="AB1" s="131" t="inlineStr">
        <is>
          <t xml:space="preserve">Defect 1 </t>
        </is>
      </c>
      <c r="AC1" s="131" t="inlineStr">
        <is>
          <t>Defect 2</t>
        </is>
      </c>
      <c r="AD1" s="131" t="inlineStr">
        <is>
          <t>Defect 3</t>
        </is>
      </c>
      <c r="AE1" s="131" t="inlineStr">
        <is>
          <t>Defect 4</t>
        </is>
      </c>
      <c r="AF1" s="131" t="inlineStr">
        <is>
          <t>Defect 5</t>
        </is>
      </c>
      <c r="AH1" s="87" t="inlineStr">
        <is>
          <t>Over Tightening</t>
        </is>
      </c>
    </row>
    <row r="2">
      <c r="A2" s="119">
        <f>C2+D2</f>
        <v/>
      </c>
      <c r="B2" s="120" t="inlineStr">
        <is>
          <t>＃1</t>
        </is>
      </c>
      <c r="C2" s="120">
        <f>'Product Audit Final '!C3</f>
        <v/>
      </c>
      <c r="D2" s="120">
        <f>'Product Audit Final '!D3</f>
        <v/>
      </c>
      <c r="E2" s="120">
        <f>'Product Audit Final '!E3</f>
        <v/>
      </c>
      <c r="F2" s="120">
        <f>'Product Audit Final '!F3</f>
        <v/>
      </c>
      <c r="G2" s="121">
        <f>SUM(C2:F2)</f>
        <v/>
      </c>
      <c r="H2" s="120" t="n">
        <v>1</v>
      </c>
      <c r="I2" s="120" t="n"/>
      <c r="J2" s="120" t="n">
        <v>1</v>
      </c>
      <c r="K2" s="122" t="n"/>
      <c r="L2" s="215">
        <f>IF('Product Audit Final '!H3="","",'Product Audit Final '!H3)</f>
        <v/>
      </c>
      <c r="M2" s="216" t="n"/>
      <c r="N2" s="123">
        <f>IF('Product Audit Final '!J3="","",'Product Audit Final '!J3)</f>
        <v/>
      </c>
      <c r="O2" s="124">
        <f>IF('Product Audit Final '!K3="","",'Product Audit Final '!K3)</f>
        <v/>
      </c>
      <c r="Q2" s="87" t="inlineStr">
        <is>
          <t>Over Tightening</t>
        </is>
      </c>
      <c r="R2" s="88">
        <f>COUNTIF(AB:AF, Q2)</f>
        <v/>
      </c>
      <c r="T2" s="87">
        <f>IF('Product Audit Final '!M3="","",'Product Audit Final '!M3)</f>
        <v/>
      </c>
      <c r="U2" s="190" t="n"/>
      <c r="V2" s="190" t="n"/>
      <c r="W2" s="190" t="n"/>
      <c r="X2" s="191" t="n"/>
      <c r="Y2" s="157">
        <f>IF('Product Audit Final '!R3="","",'Product Audit Final '!R3)</f>
        <v/>
      </c>
      <c r="Z2" s="191" t="n"/>
      <c r="AB2" s="106" t="inlineStr">
        <is>
          <t>Dent</t>
        </is>
      </c>
      <c r="AC2" s="107" t="inlineStr">
        <is>
          <t>Wrong Part</t>
        </is>
      </c>
      <c r="AD2" s="107" t="n"/>
      <c r="AE2" s="107" t="n"/>
      <c r="AF2" s="108" t="n"/>
      <c r="AH2" s="87" t="inlineStr">
        <is>
          <t>Looseness</t>
        </is>
      </c>
    </row>
    <row r="3">
      <c r="A3" s="114">
        <f>C3+D3</f>
        <v/>
      </c>
      <c r="B3" s="35" t="inlineStr">
        <is>
          <t>＃2</t>
        </is>
      </c>
      <c r="C3" s="120">
        <f>'Product Audit Final '!C4</f>
        <v/>
      </c>
      <c r="D3" s="120">
        <f>'Product Audit Final '!D4</f>
        <v/>
      </c>
      <c r="E3" s="120">
        <f>'Product Audit Final '!E4</f>
        <v/>
      </c>
      <c r="F3" s="120">
        <f>'Product Audit Final '!F4</f>
        <v/>
      </c>
      <c r="G3" s="113">
        <f>SUM(C3:F3)</f>
        <v/>
      </c>
      <c r="H3" s="35" t="n"/>
      <c r="I3" s="35" t="n"/>
      <c r="J3" s="35" t="n">
        <v>2</v>
      </c>
      <c r="K3" s="112" t="n">
        <v>3</v>
      </c>
      <c r="L3" s="217">
        <f>IF('Product Audit Final '!H4="","",'Product Audit Final '!H4)</f>
        <v/>
      </c>
      <c r="M3" s="196" t="n"/>
      <c r="N3" s="3">
        <f>IF('Product Audit Final '!J4="","",'Product Audit Final '!J4)</f>
        <v/>
      </c>
      <c r="O3" s="109">
        <f>IF('Product Audit Final '!K4="","",'Product Audit Final '!K4)</f>
        <v/>
      </c>
      <c r="Q3" s="87" t="inlineStr">
        <is>
          <t>Looseness</t>
        </is>
      </c>
      <c r="R3" s="88">
        <f>COUNTIF(AB:AF, Q3)</f>
        <v/>
      </c>
      <c r="T3" s="87">
        <f>IF('Product Audit Final '!M4="","",'Product Audit Final '!M4)</f>
        <v/>
      </c>
      <c r="U3" s="190" t="n"/>
      <c r="V3" s="190" t="n"/>
      <c r="W3" s="190" t="n"/>
      <c r="X3" s="191" t="n"/>
      <c r="Y3" s="157">
        <f>IF('Product Audit Final '!R4="","",'Product Audit Final '!R4)</f>
        <v/>
      </c>
      <c r="Z3" s="191" t="n"/>
      <c r="AB3" s="101" t="inlineStr">
        <is>
          <t>Improperly installed</t>
        </is>
      </c>
      <c r="AC3" s="100" t="inlineStr">
        <is>
          <t>Improperly installed</t>
        </is>
      </c>
      <c r="AD3" s="100" t="inlineStr">
        <is>
          <t>Looseness</t>
        </is>
      </c>
      <c r="AE3" s="100" t="inlineStr">
        <is>
          <t>Routing Wrong</t>
        </is>
      </c>
      <c r="AF3" s="102" t="inlineStr">
        <is>
          <t>Improperly installed</t>
        </is>
      </c>
      <c r="AH3" s="87" t="inlineStr">
        <is>
          <t>Scratch</t>
        </is>
      </c>
    </row>
    <row r="4">
      <c r="A4" s="114">
        <f>C4+D4</f>
        <v/>
      </c>
      <c r="B4" s="35" t="inlineStr">
        <is>
          <t>＃3</t>
        </is>
      </c>
      <c r="C4" s="120">
        <f>'Product Audit Final '!C5</f>
        <v/>
      </c>
      <c r="D4" s="120">
        <f>'Product Audit Final '!D5</f>
        <v/>
      </c>
      <c r="E4" s="120">
        <f>'Product Audit Final '!E5</f>
        <v/>
      </c>
      <c r="F4" s="120">
        <f>'Product Audit Final '!F5</f>
        <v/>
      </c>
      <c r="G4" s="113">
        <f>SUM(C4:F4)</f>
        <v/>
      </c>
      <c r="H4" s="35" t="n"/>
      <c r="I4" s="35" t="n"/>
      <c r="J4" s="35" t="n">
        <v>2</v>
      </c>
      <c r="K4" s="112" t="n">
        <v>1</v>
      </c>
      <c r="L4" s="217">
        <f>IF('Product Audit Final '!H5="","",'Product Audit Final '!H5)</f>
        <v/>
      </c>
      <c r="M4" s="196" t="n"/>
      <c r="N4" s="3">
        <f>IF('Product Audit Final '!J5="","",'Product Audit Final '!J5)</f>
        <v/>
      </c>
      <c r="O4" s="109">
        <f>IF('Product Audit Final '!K5="","",'Product Audit Final '!K5)</f>
        <v/>
      </c>
      <c r="Q4" s="87" t="inlineStr">
        <is>
          <t>Scratch</t>
        </is>
      </c>
      <c r="R4" s="88">
        <f>COUNTIF(AB:AF, Q4)</f>
        <v/>
      </c>
      <c r="T4" s="87">
        <f>IF('Product Audit Final '!M5="","",'Product Audit Final '!M5)</f>
        <v/>
      </c>
      <c r="U4" s="190" t="n"/>
      <c r="V4" s="190" t="n"/>
      <c r="W4" s="190" t="n"/>
      <c r="X4" s="191" t="n"/>
      <c r="Y4" s="157">
        <f>IF('Product Audit Final '!R5="","",'Product Audit Final '!R5)</f>
        <v/>
      </c>
      <c r="Z4" s="191" t="n"/>
      <c r="AB4" s="106" t="inlineStr">
        <is>
          <t>Deformation</t>
        </is>
      </c>
      <c r="AC4" s="107" t="inlineStr">
        <is>
          <t>Improperly installed</t>
        </is>
      </c>
      <c r="AD4" s="107" t="inlineStr">
        <is>
          <t>Scratch</t>
        </is>
      </c>
      <c r="AE4" s="107" t="n"/>
      <c r="AF4" s="108" t="n"/>
      <c r="AH4" s="87" t="inlineStr">
        <is>
          <t>Rust</t>
        </is>
      </c>
    </row>
    <row r="5" ht="14.25" customHeight="1" s="110" thickBot="1">
      <c r="A5" s="114">
        <f>C5+D5</f>
        <v/>
      </c>
      <c r="B5" s="35" t="inlineStr">
        <is>
          <t>＃4</t>
        </is>
      </c>
      <c r="C5" s="120">
        <f>'Product Audit Final '!C6</f>
        <v/>
      </c>
      <c r="D5" s="120">
        <f>'Product Audit Final '!D6</f>
        <v/>
      </c>
      <c r="E5" s="120">
        <f>'Product Audit Final '!E6</f>
        <v/>
      </c>
      <c r="F5" s="120">
        <f>'Product Audit Final '!F6</f>
        <v/>
      </c>
      <c r="G5" s="113">
        <f>SUM(C5:F5)</f>
        <v/>
      </c>
      <c r="H5" s="35" t="n"/>
      <c r="I5" s="35" t="n"/>
      <c r="J5" s="35" t="n"/>
      <c r="K5" s="112" t="n"/>
      <c r="L5" s="217">
        <f>IF('Product Audit Final '!H6="","",'Product Audit Final '!H6)</f>
        <v/>
      </c>
      <c r="M5" s="196" t="n"/>
      <c r="N5" s="3">
        <f>IF('Product Audit Final '!J6="","",'Product Audit Final '!J6)</f>
        <v/>
      </c>
      <c r="O5" s="109">
        <f>IF('Product Audit Final '!K6="","",'Product Audit Final '!K6)</f>
        <v/>
      </c>
      <c r="Q5" s="87" t="inlineStr">
        <is>
          <t>Rust</t>
        </is>
      </c>
      <c r="R5" s="88">
        <f>COUNTIF(AB:AF, Q5)</f>
        <v/>
      </c>
      <c r="T5" s="89">
        <f>IF('Product Audit Final '!M6="","",'Product Audit Final '!M6)</f>
        <v/>
      </c>
      <c r="U5" s="193" t="n"/>
      <c r="V5" s="193" t="n"/>
      <c r="W5" s="193" t="n"/>
      <c r="X5" s="194" t="n"/>
      <c r="Y5" s="157">
        <f>IF('Product Audit Final '!R6="","",'Product Audit Final '!R6)</f>
        <v/>
      </c>
      <c r="Z5" s="191" t="n"/>
      <c r="AB5" s="101" t="n"/>
      <c r="AC5" s="100" t="n"/>
      <c r="AD5" s="100" t="n"/>
      <c r="AE5" s="100" t="n"/>
      <c r="AF5" s="102" t="n"/>
      <c r="AH5" s="87" t="inlineStr">
        <is>
          <t>Improperly installed</t>
        </is>
      </c>
    </row>
    <row r="6">
      <c r="A6" s="114">
        <f>C6+D6</f>
        <v/>
      </c>
      <c r="B6" s="35" t="inlineStr">
        <is>
          <t>＃5</t>
        </is>
      </c>
      <c r="C6" s="120">
        <f>'Product Audit Final '!C7</f>
        <v/>
      </c>
      <c r="D6" s="120">
        <f>'Product Audit Final '!D7</f>
        <v/>
      </c>
      <c r="E6" s="120">
        <f>'Product Audit Final '!E7</f>
        <v/>
      </c>
      <c r="F6" s="120">
        <f>'Product Audit Final '!F7</f>
        <v/>
      </c>
      <c r="G6" s="113">
        <f>SUM(C6:F6)</f>
        <v/>
      </c>
      <c r="H6" s="35" t="n"/>
      <c r="I6" s="35" t="n"/>
      <c r="J6" s="35" t="n"/>
      <c r="K6" s="112" t="n"/>
      <c r="L6" s="217">
        <f>IF('Product Audit Final '!H7="","",'Product Audit Final '!H7)</f>
        <v/>
      </c>
      <c r="M6" s="196" t="n"/>
      <c r="N6" s="3">
        <f>IF('Product Audit Final '!J7="","",'Product Audit Final '!J7)</f>
        <v/>
      </c>
      <c r="O6" s="109">
        <f>IF('Product Audit Final '!K7="","",'Product Audit Final '!K7)</f>
        <v/>
      </c>
      <c r="Q6" s="87" t="inlineStr">
        <is>
          <t>Improperly installed</t>
        </is>
      </c>
      <c r="R6" s="88">
        <f>COUNTIF(AB:AF, Q6)</f>
        <v/>
      </c>
      <c r="AB6" s="106" t="n"/>
      <c r="AC6" s="107" t="n"/>
      <c r="AD6" s="107" t="n"/>
      <c r="AE6" s="107" t="n"/>
      <c r="AF6" s="108" t="n"/>
      <c r="AH6" s="87" t="inlineStr">
        <is>
          <t>Weld Spot Burr</t>
        </is>
      </c>
    </row>
    <row r="7">
      <c r="A7" s="114">
        <f>C7+D7</f>
        <v/>
      </c>
      <c r="B7" s="35" t="inlineStr">
        <is>
          <t>＃6</t>
        </is>
      </c>
      <c r="C7" s="120">
        <f>'Product Audit Final '!C8</f>
        <v/>
      </c>
      <c r="D7" s="120">
        <f>'Product Audit Final '!D8</f>
        <v/>
      </c>
      <c r="E7" s="120">
        <f>'Product Audit Final '!E8</f>
        <v/>
      </c>
      <c r="F7" s="120">
        <f>'Product Audit Final '!F8</f>
        <v/>
      </c>
      <c r="G7" s="113">
        <f>SUM(C7:F7)</f>
        <v/>
      </c>
      <c r="H7" s="35" t="n"/>
      <c r="I7" s="35" t="n"/>
      <c r="J7" s="35" t="n"/>
      <c r="K7" s="112" t="n"/>
      <c r="L7" s="217">
        <f>IF('Product Audit Final '!H8="","",'Product Audit Final '!H8)</f>
        <v/>
      </c>
      <c r="M7" s="196" t="n"/>
      <c r="N7" s="3">
        <f>IF('Product Audit Final '!J8="","",'Product Audit Final '!J8)</f>
        <v/>
      </c>
      <c r="O7" s="109">
        <f>IF('Product Audit Final '!K8="","",'Product Audit Final '!K8)</f>
        <v/>
      </c>
      <c r="Q7" s="87" t="inlineStr">
        <is>
          <t>Weld Spot Burr</t>
        </is>
      </c>
      <c r="R7" s="88">
        <f>COUNTIF(AB:AF, Q7)</f>
        <v/>
      </c>
      <c r="AB7" s="101" t="n"/>
      <c r="AC7" s="100" t="n"/>
      <c r="AD7" s="100" t="n"/>
      <c r="AE7" s="100" t="n"/>
      <c r="AF7" s="102" t="n"/>
      <c r="AH7" s="87" t="inlineStr">
        <is>
          <t>Weld Spot Miss</t>
        </is>
      </c>
    </row>
    <row r="8">
      <c r="A8" s="114">
        <f>C8+D8</f>
        <v/>
      </c>
      <c r="B8" s="35" t="inlineStr">
        <is>
          <t>＃7</t>
        </is>
      </c>
      <c r="C8" s="120">
        <f>'Product Audit Final '!C9</f>
        <v/>
      </c>
      <c r="D8" s="120">
        <f>'Product Audit Final '!D9</f>
        <v/>
      </c>
      <c r="E8" s="120">
        <f>'Product Audit Final '!E9</f>
        <v/>
      </c>
      <c r="F8" s="120">
        <f>'Product Audit Final '!F9</f>
        <v/>
      </c>
      <c r="G8" s="113">
        <f>SUM(C8:F8)</f>
        <v/>
      </c>
      <c r="H8" s="35" t="n"/>
      <c r="I8" s="35" t="n"/>
      <c r="J8" s="35" t="n"/>
      <c r="K8" s="112" t="n"/>
      <c r="L8" s="217">
        <f>IF('Product Audit Final '!H9="","",'Product Audit Final '!H9)</f>
        <v/>
      </c>
      <c r="M8" s="196" t="n"/>
      <c r="N8" s="3">
        <f>IF('Product Audit Final '!J9="","",'Product Audit Final '!J9)</f>
        <v/>
      </c>
      <c r="O8" s="109">
        <f>IF('Product Audit Final '!K9="","",'Product Audit Final '!K9)</f>
        <v/>
      </c>
      <c r="Q8" s="87" t="inlineStr">
        <is>
          <t>Weld Spot Miss</t>
        </is>
      </c>
      <c r="R8" s="88">
        <f>COUNTIF(AB:AF, Q8)</f>
        <v/>
      </c>
      <c r="AB8" s="106" t="n"/>
      <c r="AC8" s="107" t="n"/>
      <c r="AD8" s="107" t="n"/>
      <c r="AE8" s="107" t="n"/>
      <c r="AF8" s="108" t="n"/>
      <c r="AH8" s="87" t="inlineStr">
        <is>
          <t>Sag</t>
        </is>
      </c>
    </row>
    <row r="9">
      <c r="A9" s="114">
        <f>C9+D9</f>
        <v/>
      </c>
      <c r="B9" s="35" t="inlineStr">
        <is>
          <t>＃8</t>
        </is>
      </c>
      <c r="C9" s="120">
        <f>'Product Audit Final '!C10</f>
        <v/>
      </c>
      <c r="D9" s="120">
        <f>'Product Audit Final '!D10</f>
        <v/>
      </c>
      <c r="E9" s="120">
        <f>'Product Audit Final '!E10</f>
        <v/>
      </c>
      <c r="F9" s="120">
        <f>'Product Audit Final '!F10</f>
        <v/>
      </c>
      <c r="G9" s="113">
        <f>SUM(C9:F9)</f>
        <v/>
      </c>
      <c r="H9" s="35" t="n"/>
      <c r="I9" s="35" t="n"/>
      <c r="J9" s="35" t="n"/>
      <c r="K9" s="112" t="n"/>
      <c r="L9" s="217">
        <f>IF('Product Audit Final '!H10="","",'Product Audit Final '!H10)</f>
        <v/>
      </c>
      <c r="M9" s="196" t="n"/>
      <c r="N9" s="3">
        <f>IF('Product Audit Final '!J10="","",'Product Audit Final '!J10)</f>
        <v/>
      </c>
      <c r="O9" s="109">
        <f>IF('Product Audit Final '!K10="","",'Product Audit Final '!K10)</f>
        <v/>
      </c>
      <c r="Q9" s="87" t="inlineStr">
        <is>
          <t>Sag</t>
        </is>
      </c>
      <c r="R9" s="88">
        <f>COUNTIF(AB:AF, Q9)</f>
        <v/>
      </c>
      <c r="AB9" s="101" t="n"/>
      <c r="AC9" s="100" t="n"/>
      <c r="AD9" s="100" t="n"/>
      <c r="AE9" s="100" t="n"/>
      <c r="AF9" s="102" t="n"/>
      <c r="AH9" s="87" t="inlineStr">
        <is>
          <t>Run</t>
        </is>
      </c>
    </row>
    <row r="10">
      <c r="A10" s="114">
        <f>C10+D10</f>
        <v/>
      </c>
      <c r="B10" s="35" t="inlineStr">
        <is>
          <t>＃9</t>
        </is>
      </c>
      <c r="C10" s="120">
        <f>'Product Audit Final '!C11</f>
        <v/>
      </c>
      <c r="D10" s="120">
        <f>'Product Audit Final '!D11</f>
        <v/>
      </c>
      <c r="E10" s="120">
        <f>'Product Audit Final '!E11</f>
        <v/>
      </c>
      <c r="F10" s="120">
        <f>'Product Audit Final '!F11</f>
        <v/>
      </c>
      <c r="G10" s="113">
        <f>SUM(C10:F10)</f>
        <v/>
      </c>
      <c r="H10" s="35" t="n"/>
      <c r="I10" s="35" t="n"/>
      <c r="J10" s="35" t="n"/>
      <c r="K10" s="112" t="n"/>
      <c r="L10" s="217">
        <f>IF('Product Audit Final '!H11="","",'Product Audit Final '!H11)</f>
        <v/>
      </c>
      <c r="M10" s="196" t="n"/>
      <c r="N10" s="3">
        <f>IF('Product Audit Final '!J11="","",'Product Audit Final '!J11)</f>
        <v/>
      </c>
      <c r="O10" s="109">
        <f>IF('Product Audit Final '!K11="","",'Product Audit Final '!K11)</f>
        <v/>
      </c>
      <c r="Q10" s="87" t="inlineStr">
        <is>
          <t>Run</t>
        </is>
      </c>
      <c r="R10" s="88">
        <f>COUNTIF(AB:AF, Q10)</f>
        <v/>
      </c>
      <c r="AB10" s="101" t="n"/>
      <c r="AC10" s="100" t="n"/>
      <c r="AD10" s="100" t="n"/>
      <c r="AE10" s="100" t="n"/>
      <c r="AF10" s="102" t="n"/>
      <c r="AH10" s="87" t="inlineStr">
        <is>
          <t>Dent</t>
        </is>
      </c>
    </row>
    <row r="11">
      <c r="A11" s="114">
        <f>C11+D11</f>
        <v/>
      </c>
      <c r="B11" s="35" t="inlineStr">
        <is>
          <t>＃10</t>
        </is>
      </c>
      <c r="C11" s="120">
        <f>'Product Audit Final '!C12</f>
        <v/>
      </c>
      <c r="D11" s="120">
        <f>'Product Audit Final '!D12</f>
        <v/>
      </c>
      <c r="E11" s="120">
        <f>'Product Audit Final '!E12</f>
        <v/>
      </c>
      <c r="F11" s="120">
        <f>'Product Audit Final '!F12</f>
        <v/>
      </c>
      <c r="G11" s="113">
        <f>SUM(C11:F11)</f>
        <v/>
      </c>
      <c r="H11" s="35" t="n"/>
      <c r="I11" s="35" t="n"/>
      <c r="J11" s="35" t="n"/>
      <c r="K11" s="112" t="n"/>
      <c r="L11" s="217">
        <f>IF('Product Audit Final '!H12="","",'Product Audit Final '!H12)</f>
        <v/>
      </c>
      <c r="M11" s="196" t="n"/>
      <c r="N11" s="3">
        <f>IF('Product Audit Final '!J12="","",'Product Audit Final '!J12)</f>
        <v/>
      </c>
      <c r="O11" s="109">
        <f>IF('Product Audit Final '!K12="","",'Product Audit Final '!K12)</f>
        <v/>
      </c>
      <c r="Q11" s="87" t="inlineStr">
        <is>
          <t>Dent</t>
        </is>
      </c>
      <c r="R11" s="88">
        <f>COUNTIF(AB:AF, Q11)</f>
        <v/>
      </c>
      <c r="AB11" s="101" t="n"/>
      <c r="AC11" s="100" t="n"/>
      <c r="AD11" s="100" t="n"/>
      <c r="AE11" s="100" t="n"/>
      <c r="AF11" s="102" t="n"/>
      <c r="AH11" s="87" t="inlineStr">
        <is>
          <t>Bump</t>
        </is>
      </c>
    </row>
    <row r="12">
      <c r="A12" s="114">
        <f>C12+D12</f>
        <v/>
      </c>
      <c r="B12" s="35" t="inlineStr">
        <is>
          <t>＃11</t>
        </is>
      </c>
      <c r="C12" s="120">
        <f>'Product Audit Final '!C13</f>
        <v/>
      </c>
      <c r="D12" s="120">
        <f>'Product Audit Final '!D13</f>
        <v/>
      </c>
      <c r="E12" s="120">
        <f>'Product Audit Final '!E13</f>
        <v/>
      </c>
      <c r="F12" s="120">
        <f>'Product Audit Final '!F13</f>
        <v/>
      </c>
      <c r="G12" s="113">
        <f>SUM(C12:F12)</f>
        <v/>
      </c>
      <c r="H12" s="35" t="n"/>
      <c r="I12" s="35" t="n"/>
      <c r="J12" s="35" t="n"/>
      <c r="K12" s="112" t="n"/>
      <c r="L12" s="217">
        <f>IF('Product Audit Final '!H13="","",'Product Audit Final '!H13)</f>
        <v/>
      </c>
      <c r="M12" s="196" t="n"/>
      <c r="N12" s="3">
        <f>IF('Product Audit Final '!J13="","",'Product Audit Final '!J13)</f>
        <v/>
      </c>
      <c r="O12" s="109">
        <f>IF('Product Audit Final '!K13="","",'Product Audit Final '!K13)</f>
        <v/>
      </c>
      <c r="Q12" s="87" t="inlineStr">
        <is>
          <t>Bump</t>
        </is>
      </c>
      <c r="R12" s="88">
        <f>COUNTIF(AB:AF, Q12)</f>
        <v/>
      </c>
      <c r="AB12" s="101" t="n"/>
      <c r="AC12" s="100" t="n"/>
      <c r="AD12" s="100" t="n"/>
      <c r="AE12" s="100" t="n"/>
      <c r="AF12" s="102" t="n"/>
      <c r="AH12" s="87" t="inlineStr">
        <is>
          <t>Spot Miss</t>
        </is>
      </c>
    </row>
    <row r="13">
      <c r="A13" s="114">
        <f>C13+D13</f>
        <v/>
      </c>
      <c r="B13" s="35" t="inlineStr">
        <is>
          <t>＃12</t>
        </is>
      </c>
      <c r="C13" s="120">
        <f>'Product Audit Final '!C14</f>
        <v/>
      </c>
      <c r="D13" s="120">
        <f>'Product Audit Final '!D14</f>
        <v/>
      </c>
      <c r="E13" s="120">
        <f>'Product Audit Final '!E14</f>
        <v/>
      </c>
      <c r="F13" s="120">
        <f>'Product Audit Final '!F14</f>
        <v/>
      </c>
      <c r="G13" s="113">
        <f>SUM(C13:F13)</f>
        <v/>
      </c>
      <c r="H13" s="35" t="n"/>
      <c r="I13" s="35" t="n"/>
      <c r="J13" s="35" t="n"/>
      <c r="K13" s="112" t="n"/>
      <c r="L13" s="217">
        <f>IF('Product Audit Final '!H14="","",'Product Audit Final '!H14)</f>
        <v/>
      </c>
      <c r="M13" s="196" t="n"/>
      <c r="N13" s="3">
        <f>IF('Product Audit Final '!J14="","",'Product Audit Final '!J14)</f>
        <v/>
      </c>
      <c r="O13" s="109">
        <f>IF('Product Audit Final '!K14="","",'Product Audit Final '!K14)</f>
        <v/>
      </c>
      <c r="Q13" s="87" t="inlineStr">
        <is>
          <t>Spot Miss</t>
        </is>
      </c>
      <c r="R13" s="88">
        <f>COUNTIF(AB:AF, Q13)</f>
        <v/>
      </c>
      <c r="AB13" s="101" t="n"/>
      <c r="AC13" s="100" t="n"/>
      <c r="AD13" s="100" t="n"/>
      <c r="AE13" s="100" t="n"/>
      <c r="AF13" s="102" t="n"/>
      <c r="AH13" s="87" t="inlineStr">
        <is>
          <t>Seepage</t>
        </is>
      </c>
    </row>
    <row r="14">
      <c r="A14" s="114">
        <f>C14+D14</f>
        <v/>
      </c>
      <c r="B14" s="35" t="inlineStr">
        <is>
          <t>＃13</t>
        </is>
      </c>
      <c r="C14" s="120">
        <f>'Product Audit Final '!C15</f>
        <v/>
      </c>
      <c r="D14" s="120">
        <f>'Product Audit Final '!D15</f>
        <v/>
      </c>
      <c r="E14" s="120">
        <f>'Product Audit Final '!E15</f>
        <v/>
      </c>
      <c r="F14" s="120">
        <f>'Product Audit Final '!F15</f>
        <v/>
      </c>
      <c r="G14" s="113">
        <f>SUM(C14:F14)</f>
        <v/>
      </c>
      <c r="H14" s="35" t="n"/>
      <c r="I14" s="35" t="n"/>
      <c r="J14" s="35" t="n"/>
      <c r="K14" s="112" t="n"/>
      <c r="L14" s="217">
        <f>IF('Product Audit Final '!H15="","",'Product Audit Final '!H15)</f>
        <v/>
      </c>
      <c r="M14" s="196" t="n"/>
      <c r="N14" s="3">
        <f>IF('Product Audit Final '!J15="","",'Product Audit Final '!J15)</f>
        <v/>
      </c>
      <c r="O14" s="109">
        <f>IF('Product Audit Final '!K15="","",'Product Audit Final '!K15)</f>
        <v/>
      </c>
      <c r="Q14" s="87" t="inlineStr">
        <is>
          <t>Seepage</t>
        </is>
      </c>
      <c r="R14" s="88">
        <f>COUNTIF(AB:AF, Q14)</f>
        <v/>
      </c>
      <c r="AB14" s="101" t="n"/>
      <c r="AC14" s="100" t="n"/>
      <c r="AD14" s="100" t="n"/>
      <c r="AE14" s="100" t="n"/>
      <c r="AF14" s="102" t="n"/>
      <c r="AH14" s="87" t="inlineStr">
        <is>
          <t>Leakage</t>
        </is>
      </c>
    </row>
    <row r="15">
      <c r="A15" s="114">
        <f>C15+D15</f>
        <v/>
      </c>
      <c r="B15" s="35" t="inlineStr">
        <is>
          <t>＃14</t>
        </is>
      </c>
      <c r="C15" s="120">
        <f>'Product Audit Final '!C16</f>
        <v/>
      </c>
      <c r="D15" s="120">
        <f>'Product Audit Final '!D16</f>
        <v/>
      </c>
      <c r="E15" s="120">
        <f>'Product Audit Final '!E16</f>
        <v/>
      </c>
      <c r="F15" s="120">
        <f>'Product Audit Final '!F16</f>
        <v/>
      </c>
      <c r="G15" s="113">
        <f>SUM(C15:F15)</f>
        <v/>
      </c>
      <c r="H15" s="35" t="n"/>
      <c r="I15" s="35" t="n"/>
      <c r="J15" s="35" t="n"/>
      <c r="K15" s="112" t="n"/>
      <c r="L15" s="217">
        <f>IF('Product Audit Final '!H16="","",'Product Audit Final '!H16)</f>
        <v/>
      </c>
      <c r="M15" s="196" t="n"/>
      <c r="N15" s="3">
        <f>IF('Product Audit Final '!J16="","",'Product Audit Final '!J16)</f>
        <v/>
      </c>
      <c r="O15" s="109">
        <f>IF('Product Audit Final '!K16="","",'Product Audit Final '!K16)</f>
        <v/>
      </c>
      <c r="Q15" s="87" t="inlineStr">
        <is>
          <t>Leakage</t>
        </is>
      </c>
      <c r="R15" s="88">
        <f>COUNTIF(AB:AF, Q15)</f>
        <v/>
      </c>
      <c r="AB15" s="101" t="n"/>
      <c r="AC15" s="100" t="n"/>
      <c r="AD15" s="100" t="n"/>
      <c r="AE15" s="100" t="n"/>
      <c r="AF15" s="102" t="n"/>
      <c r="AH15" s="87" t="inlineStr">
        <is>
          <t>Crater</t>
        </is>
      </c>
    </row>
    <row r="16">
      <c r="A16" s="114">
        <f>C16+D16</f>
        <v/>
      </c>
      <c r="B16" s="35" t="inlineStr">
        <is>
          <t>＃15</t>
        </is>
      </c>
      <c r="C16" s="120">
        <f>'Product Audit Final '!C17</f>
        <v/>
      </c>
      <c r="D16" s="120">
        <f>'Product Audit Final '!D17</f>
        <v/>
      </c>
      <c r="E16" s="120">
        <f>'Product Audit Final '!E17</f>
        <v/>
      </c>
      <c r="F16" s="120">
        <f>'Product Audit Final '!F17</f>
        <v/>
      </c>
      <c r="G16" s="113">
        <f>SUM(C16:F16)</f>
        <v/>
      </c>
      <c r="H16" s="35" t="n"/>
      <c r="I16" s="35" t="n"/>
      <c r="J16" s="35" t="n"/>
      <c r="K16" s="112" t="n"/>
      <c r="L16" s="217">
        <f>IF('Product Audit Final '!H17="","",'Product Audit Final '!H17)</f>
        <v/>
      </c>
      <c r="M16" s="196" t="n"/>
      <c r="N16" s="3">
        <f>IF('Product Audit Final '!J17="","",'Product Audit Final '!J17)</f>
        <v/>
      </c>
      <c r="O16" s="109">
        <f>IF('Product Audit Final '!K17="","",'Product Audit Final '!K17)</f>
        <v/>
      </c>
      <c r="Q16" s="87" t="inlineStr">
        <is>
          <t>Crater</t>
        </is>
      </c>
      <c r="R16" s="88">
        <f>COUNTIF(AB:AF, Q16)</f>
        <v/>
      </c>
      <c r="AB16" s="101" t="n"/>
      <c r="AC16" s="100" t="n"/>
      <c r="AD16" s="100" t="n"/>
      <c r="AE16" s="100" t="n"/>
      <c r="AF16" s="102" t="n"/>
      <c r="AH16" s="87" t="inlineStr">
        <is>
          <t>Thin Paint</t>
        </is>
      </c>
    </row>
    <row r="17">
      <c r="A17" s="114">
        <f>C17+D17</f>
        <v/>
      </c>
      <c r="B17" s="35" t="inlineStr">
        <is>
          <t>＃16</t>
        </is>
      </c>
      <c r="C17" s="120">
        <f>'Product Audit Final '!C18</f>
        <v/>
      </c>
      <c r="D17" s="120">
        <f>'Product Audit Final '!D18</f>
        <v/>
      </c>
      <c r="E17" s="120">
        <f>'Product Audit Final '!E18</f>
        <v/>
      </c>
      <c r="F17" s="120">
        <f>'Product Audit Final '!F18</f>
        <v/>
      </c>
      <c r="G17" s="113">
        <f>SUM(C17:F17)</f>
        <v/>
      </c>
      <c r="H17" s="35" t="n"/>
      <c r="I17" s="35" t="n"/>
      <c r="J17" s="35" t="n"/>
      <c r="K17" s="112" t="n"/>
      <c r="L17" s="217">
        <f>IF('Product Audit Final '!H18="","",'Product Audit Final '!H18)</f>
        <v/>
      </c>
      <c r="M17" s="196" t="n"/>
      <c r="N17" s="3">
        <f>IF('Product Audit Final '!J18="","",'Product Audit Final '!J18)</f>
        <v/>
      </c>
      <c r="O17" s="109">
        <f>IF('Product Audit Final '!K18="","",'Product Audit Final '!K18)</f>
        <v/>
      </c>
      <c r="Q17" s="87" t="inlineStr">
        <is>
          <t>Thin Paint</t>
        </is>
      </c>
      <c r="R17" s="88">
        <f>COUNTIF(AB:AF, Q17)</f>
        <v/>
      </c>
      <c r="AB17" s="101" t="n"/>
      <c r="AC17" s="100" t="n"/>
      <c r="AD17" s="100" t="n"/>
      <c r="AE17" s="100" t="n"/>
      <c r="AF17" s="102" t="n"/>
      <c r="AH17" s="87" t="inlineStr">
        <is>
          <t>Part Miss</t>
        </is>
      </c>
    </row>
    <row r="18">
      <c r="A18" s="114">
        <f>C18+D18</f>
        <v/>
      </c>
      <c r="B18" s="35" t="inlineStr">
        <is>
          <t>＃17</t>
        </is>
      </c>
      <c r="C18" s="120">
        <f>'Product Audit Final '!C19</f>
        <v/>
      </c>
      <c r="D18" s="120">
        <f>'Product Audit Final '!D19</f>
        <v/>
      </c>
      <c r="E18" s="120">
        <f>'Product Audit Final '!E19</f>
        <v/>
      </c>
      <c r="F18" s="120">
        <f>'Product Audit Final '!F19</f>
        <v/>
      </c>
      <c r="G18" s="113">
        <f>SUM(C18:F18)</f>
        <v/>
      </c>
      <c r="H18" s="35" t="n"/>
      <c r="I18" s="35" t="n"/>
      <c r="J18" s="35" t="n"/>
      <c r="K18" s="112" t="n"/>
      <c r="L18" s="217">
        <f>IF('Product Audit Final '!H19="","",'Product Audit Final '!H19)</f>
        <v/>
      </c>
      <c r="M18" s="196" t="n"/>
      <c r="N18" s="3">
        <f>IF('Product Audit Final '!J19="","",'Product Audit Final '!J19)</f>
        <v/>
      </c>
      <c r="O18" s="109">
        <f>IF('Product Audit Final '!K19="","",'Product Audit Final '!K19)</f>
        <v/>
      </c>
      <c r="Q18" s="87" t="inlineStr">
        <is>
          <t>Part Miss</t>
        </is>
      </c>
      <c r="R18" s="88">
        <f>COUNTIF(AB:AF, Q18)</f>
        <v/>
      </c>
      <c r="AB18" s="101" t="n"/>
      <c r="AC18" s="100" t="n"/>
      <c r="AD18" s="100" t="n"/>
      <c r="AE18" s="100" t="n"/>
      <c r="AF18" s="102" t="n"/>
      <c r="AH18" s="87" t="inlineStr">
        <is>
          <t>Routing Wrong</t>
        </is>
      </c>
    </row>
    <row r="19">
      <c r="A19" s="114">
        <f>C19+D19</f>
        <v/>
      </c>
      <c r="B19" s="35" t="inlineStr">
        <is>
          <t>＃18</t>
        </is>
      </c>
      <c r="C19" s="120">
        <f>'Product Audit Final '!C20</f>
        <v/>
      </c>
      <c r="D19" s="120">
        <f>'Product Audit Final '!D20</f>
        <v/>
      </c>
      <c r="E19" s="120">
        <f>'Product Audit Final '!E20</f>
        <v/>
      </c>
      <c r="F19" s="120">
        <f>'Product Audit Final '!F20</f>
        <v/>
      </c>
      <c r="G19" s="113">
        <f>SUM(C19:F19)</f>
        <v/>
      </c>
      <c r="H19" s="35" t="n"/>
      <c r="I19" s="35" t="n"/>
      <c r="J19" s="35" t="n"/>
      <c r="K19" s="112" t="n"/>
      <c r="L19" s="217">
        <f>IF('Product Audit Final '!H20="","",'Product Audit Final '!H20)</f>
        <v/>
      </c>
      <c r="M19" s="196" t="n"/>
      <c r="N19" s="3">
        <f>IF('Product Audit Final '!J20="","",'Product Audit Final '!J20)</f>
        <v/>
      </c>
      <c r="O19" s="109">
        <f>IF('Product Audit Final '!K20="","",'Product Audit Final '!K20)</f>
        <v/>
      </c>
      <c r="Q19" s="87" t="inlineStr">
        <is>
          <t>Routing Wrong</t>
        </is>
      </c>
      <c r="R19" s="88">
        <f>COUNTIF(AB:AF, Q19)</f>
        <v/>
      </c>
      <c r="AB19" s="101" t="n"/>
      <c r="AC19" s="100" t="n"/>
      <c r="AD19" s="100" t="n"/>
      <c r="AE19" s="100" t="n"/>
      <c r="AF19" s="102" t="n"/>
      <c r="AH19" s="87" t="inlineStr">
        <is>
          <t>Wrong Part</t>
        </is>
      </c>
    </row>
    <row r="20">
      <c r="A20" s="114">
        <f>C20+D20</f>
        <v/>
      </c>
      <c r="B20" s="35" t="inlineStr">
        <is>
          <t>＃19</t>
        </is>
      </c>
      <c r="C20" s="120">
        <f>'Product Audit Final '!C21</f>
        <v/>
      </c>
      <c r="D20" s="120">
        <f>'Product Audit Final '!D21</f>
        <v/>
      </c>
      <c r="E20" s="120">
        <f>'Product Audit Final '!E21</f>
        <v/>
      </c>
      <c r="F20" s="120">
        <f>'Product Audit Final '!F21</f>
        <v/>
      </c>
      <c r="G20" s="113">
        <f>SUM(C20:F20)</f>
        <v/>
      </c>
      <c r="H20" s="35" t="n"/>
      <c r="I20" s="35" t="n"/>
      <c r="J20" s="35" t="n"/>
      <c r="K20" s="112" t="n"/>
      <c r="L20" s="217">
        <f>IF('Product Audit Final '!H21="","",'Product Audit Final '!H21)</f>
        <v/>
      </c>
      <c r="M20" s="196" t="n"/>
      <c r="N20" s="3">
        <f>IF('Product Audit Final '!J21="","",'Product Audit Final '!J21)</f>
        <v/>
      </c>
      <c r="O20" s="109">
        <f>IF('Product Audit Final '!K21="","",'Product Audit Final '!K21)</f>
        <v/>
      </c>
      <c r="Q20" s="87" t="inlineStr">
        <is>
          <t>Wrong Part</t>
        </is>
      </c>
      <c r="R20" s="88">
        <f>COUNTIF(AB:AF, Q20)</f>
        <v/>
      </c>
      <c r="AB20" s="101" t="n"/>
      <c r="AC20" s="100" t="n"/>
      <c r="AD20" s="100" t="n"/>
      <c r="AE20" s="100" t="n"/>
      <c r="AF20" s="102" t="n"/>
      <c r="AH20" s="87" t="inlineStr">
        <is>
          <t>Deformation</t>
        </is>
      </c>
    </row>
    <row r="21">
      <c r="A21" s="114">
        <f>C21+D21</f>
        <v/>
      </c>
      <c r="B21" s="35" t="inlineStr">
        <is>
          <t>＃20</t>
        </is>
      </c>
      <c r="C21" s="120">
        <f>'Product Audit Final '!C22</f>
        <v/>
      </c>
      <c r="D21" s="120">
        <f>'Product Audit Final '!D22</f>
        <v/>
      </c>
      <c r="E21" s="120">
        <f>'Product Audit Final '!E22</f>
        <v/>
      </c>
      <c r="F21" s="120">
        <f>'Product Audit Final '!F22</f>
        <v/>
      </c>
      <c r="G21" s="113">
        <f>SUM(C21:F21)</f>
        <v/>
      </c>
      <c r="H21" s="35" t="n"/>
      <c r="I21" s="35" t="n"/>
      <c r="J21" s="35" t="n"/>
      <c r="K21" s="112" t="n"/>
      <c r="L21" s="217">
        <f>IF('Product Audit Final '!H22="","",'Product Audit Final '!H22)</f>
        <v/>
      </c>
      <c r="M21" s="196" t="n"/>
      <c r="N21" s="3">
        <f>IF('Product Audit Final '!J22="","",'Product Audit Final '!J22)</f>
        <v/>
      </c>
      <c r="O21" s="109">
        <f>IF('Product Audit Final '!K22="","",'Product Audit Final '!K22)</f>
        <v/>
      </c>
      <c r="Q21" s="87" t="inlineStr">
        <is>
          <t>Deformation</t>
        </is>
      </c>
      <c r="R21" s="88">
        <f>COUNTIF(AB:AF, Q21)</f>
        <v/>
      </c>
      <c r="AB21" s="101" t="n"/>
      <c r="AC21" s="100" t="n"/>
      <c r="AD21" s="100" t="n"/>
      <c r="AE21" s="100" t="n"/>
      <c r="AF21" s="102" t="n"/>
      <c r="AH21" s="87" t="inlineStr">
        <is>
          <t>Gap NG</t>
        </is>
      </c>
    </row>
    <row r="22">
      <c r="A22" s="114">
        <f>C22+D22</f>
        <v/>
      </c>
      <c r="B22" s="35" t="inlineStr">
        <is>
          <t>＃21</t>
        </is>
      </c>
      <c r="C22" s="120">
        <f>'Product Audit Final '!C23</f>
        <v/>
      </c>
      <c r="D22" s="120">
        <f>'Product Audit Final '!D23</f>
        <v/>
      </c>
      <c r="E22" s="120">
        <f>'Product Audit Final '!E23</f>
        <v/>
      </c>
      <c r="F22" s="120">
        <f>'Product Audit Final '!F23</f>
        <v/>
      </c>
      <c r="G22" s="113">
        <f>SUM(C22:F22)</f>
        <v/>
      </c>
      <c r="H22" s="35" t="n"/>
      <c r="I22" s="35" t="n"/>
      <c r="J22" s="35" t="n"/>
      <c r="K22" s="112" t="n"/>
      <c r="L22" s="217">
        <f>IF('Product Audit Final '!H23="","",'Product Audit Final '!H23)</f>
        <v/>
      </c>
      <c r="M22" s="196" t="n"/>
      <c r="N22" s="3">
        <f>IF('Product Audit Final '!J23="","",'Product Audit Final '!J23)</f>
        <v/>
      </c>
      <c r="O22" s="109">
        <f>IF('Product Audit Final '!K23="","",'Product Audit Final '!K23)</f>
        <v/>
      </c>
      <c r="Q22" s="87" t="inlineStr">
        <is>
          <t>Gap NG</t>
        </is>
      </c>
      <c r="R22" s="88">
        <f>COUNTIF(AB:AF, Q22)</f>
        <v/>
      </c>
      <c r="AB22" s="101" t="n"/>
      <c r="AC22" s="100" t="n"/>
      <c r="AD22" s="100" t="n"/>
      <c r="AE22" s="100" t="n"/>
      <c r="AF22" s="102" t="n"/>
      <c r="AH22" s="87" t="inlineStr">
        <is>
          <t>Indicator not work</t>
        </is>
      </c>
    </row>
    <row r="23">
      <c r="A23" s="114">
        <f>C23+D23</f>
        <v/>
      </c>
      <c r="B23" s="35" t="inlineStr">
        <is>
          <t>＃22</t>
        </is>
      </c>
      <c r="C23" s="120">
        <f>'Product Audit Final '!C24</f>
        <v/>
      </c>
      <c r="D23" s="120">
        <f>'Product Audit Final '!D24</f>
        <v/>
      </c>
      <c r="E23" s="120">
        <f>'Product Audit Final '!E24</f>
        <v/>
      </c>
      <c r="F23" s="120">
        <f>'Product Audit Final '!F24</f>
        <v/>
      </c>
      <c r="G23" s="113">
        <f>SUM(C23:F23)</f>
        <v/>
      </c>
      <c r="H23" s="35" t="n"/>
      <c r="I23" s="35" t="n"/>
      <c r="J23" s="35" t="n"/>
      <c r="K23" s="112" t="n"/>
      <c r="L23" s="217">
        <f>IF('Product Audit Final '!H24="","",'Product Audit Final '!H24)</f>
        <v/>
      </c>
      <c r="M23" s="196" t="n"/>
      <c r="N23" s="3">
        <f>IF('Product Audit Final '!J24="","",'Product Audit Final '!J24)</f>
        <v/>
      </c>
      <c r="O23" s="109">
        <f>IF('Product Audit Final '!K24="","",'Product Audit Final '!K24)</f>
        <v/>
      </c>
      <c r="Q23" s="87" t="inlineStr">
        <is>
          <t>Indicator not work</t>
        </is>
      </c>
      <c r="R23" s="88">
        <f>COUNTIF(AB:AF, Q23)</f>
        <v/>
      </c>
      <c r="AB23" s="101" t="n"/>
      <c r="AC23" s="100" t="n"/>
      <c r="AD23" s="100" t="n"/>
      <c r="AE23" s="100" t="n"/>
      <c r="AF23" s="102" t="n"/>
      <c r="AH23" s="87" t="inlineStr">
        <is>
          <t>Wrinkles</t>
        </is>
      </c>
    </row>
    <row r="24">
      <c r="A24" s="114">
        <f>C24+D24</f>
        <v/>
      </c>
      <c r="B24" s="35" t="inlineStr">
        <is>
          <t>＃23</t>
        </is>
      </c>
      <c r="C24" s="120">
        <f>'Product Audit Final '!C25</f>
        <v/>
      </c>
      <c r="D24" s="120">
        <f>'Product Audit Final '!D25</f>
        <v/>
      </c>
      <c r="E24" s="120">
        <f>'Product Audit Final '!E25</f>
        <v/>
      </c>
      <c r="F24" s="120">
        <f>'Product Audit Final '!F25</f>
        <v/>
      </c>
      <c r="G24" s="113">
        <f>SUM(C24:F24)</f>
        <v/>
      </c>
      <c r="H24" s="35" t="n"/>
      <c r="I24" s="35" t="n"/>
      <c r="J24" s="35" t="n"/>
      <c r="K24" s="112" t="n"/>
      <c r="L24" s="217">
        <f>IF('Product Audit Final '!H25="","",'Product Audit Final '!H25)</f>
        <v/>
      </c>
      <c r="M24" s="196" t="n"/>
      <c r="N24" s="3">
        <f>IF('Product Audit Final '!J25="","",'Product Audit Final '!J25)</f>
        <v/>
      </c>
      <c r="O24" s="109">
        <f>IF('Product Audit Final '!K25="","",'Product Audit Final '!K25)</f>
        <v/>
      </c>
      <c r="Q24" s="87" t="inlineStr">
        <is>
          <t>Wrinkles</t>
        </is>
      </c>
      <c r="R24" s="88">
        <f>COUNTIF(AB:AF, Q24)</f>
        <v/>
      </c>
      <c r="AB24" s="101" t="n"/>
      <c r="AC24" s="100" t="n"/>
      <c r="AD24" s="100" t="n"/>
      <c r="AE24" s="100" t="n"/>
      <c r="AF24" s="102" t="n"/>
      <c r="AH24" s="87" t="inlineStr">
        <is>
          <t>Torque Mark Miss</t>
        </is>
      </c>
    </row>
    <row r="25" ht="14.25" customHeight="1" s="110" thickBot="1">
      <c r="A25" s="114">
        <f>C25+D25</f>
        <v/>
      </c>
      <c r="B25" s="35" t="inlineStr">
        <is>
          <t>＃24</t>
        </is>
      </c>
      <c r="C25" s="120">
        <f>'Product Audit Final '!C26</f>
        <v/>
      </c>
      <c r="D25" s="120">
        <f>'Product Audit Final '!D26</f>
        <v/>
      </c>
      <c r="E25" s="120">
        <f>'Product Audit Final '!E26</f>
        <v/>
      </c>
      <c r="F25" s="120">
        <f>'Product Audit Final '!F26</f>
        <v/>
      </c>
      <c r="G25" s="113">
        <f>SUM(C25:F25)</f>
        <v/>
      </c>
      <c r="H25" s="35" t="n"/>
      <c r="I25" s="35" t="n"/>
      <c r="J25" s="35" t="n"/>
      <c r="K25" s="112" t="n"/>
      <c r="L25" s="217">
        <f>IF('Product Audit Final '!H26="","",'Product Audit Final '!H26)</f>
        <v/>
      </c>
      <c r="M25" s="196" t="n"/>
      <c r="N25" s="3">
        <f>IF('Product Audit Final '!J26="","",'Product Audit Final '!J26)</f>
        <v/>
      </c>
      <c r="O25" s="109">
        <f>IF('Product Audit Final '!K26="","",'Product Audit Final '!K26)</f>
        <v/>
      </c>
      <c r="Q25" s="87" t="inlineStr">
        <is>
          <t>Torque Mark Miss</t>
        </is>
      </c>
      <c r="R25" s="88">
        <f>COUNTIF(AB:AF, Q25)</f>
        <v/>
      </c>
      <c r="AB25" s="101" t="n"/>
      <c r="AC25" s="100" t="n"/>
      <c r="AD25" s="100" t="n"/>
      <c r="AE25" s="100" t="n"/>
      <c r="AF25" s="102" t="n"/>
      <c r="AH25" s="89" t="inlineStr">
        <is>
          <t>Other</t>
        </is>
      </c>
    </row>
    <row r="26" ht="14.25" customHeight="1" s="110" thickBot="1">
      <c r="A26" s="115">
        <f>C26+D26</f>
        <v/>
      </c>
      <c r="B26" s="37" t="inlineStr">
        <is>
          <t>＃25</t>
        </is>
      </c>
      <c r="C26" s="120">
        <f>'Product Audit Final '!C27</f>
        <v/>
      </c>
      <c r="D26" s="120">
        <f>'Product Audit Final '!D27</f>
        <v/>
      </c>
      <c r="E26" s="120">
        <f>'Product Audit Final '!E27</f>
        <v/>
      </c>
      <c r="F26" s="120">
        <f>'Product Audit Final '!F27</f>
        <v/>
      </c>
      <c r="G26" s="116">
        <f>SUM(C26:F26)</f>
        <v/>
      </c>
      <c r="H26" s="37" t="n"/>
      <c r="I26" s="37" t="n"/>
      <c r="J26" s="37" t="n"/>
      <c r="K26" s="117" t="n"/>
      <c r="L26" s="218">
        <f>IF('Product Audit Final '!H27="","",'Product Audit Final '!H27)</f>
        <v/>
      </c>
      <c r="M26" s="219" t="n"/>
      <c r="N26" s="28">
        <f>IF('Product Audit Final '!J27="","",'Product Audit Final '!J27)</f>
        <v/>
      </c>
      <c r="O26" s="118">
        <f>IF('Product Audit Final '!K27="","",'Product Audit Final '!K27)</f>
        <v/>
      </c>
      <c r="Q26" s="89" t="inlineStr">
        <is>
          <t>Other</t>
        </is>
      </c>
      <c r="R26" s="88">
        <f>COUNTIF(AB:AF, Q26)</f>
        <v/>
      </c>
      <c r="AB26" s="103" t="n"/>
      <c r="AC26" s="104" t="n"/>
      <c r="AD26" s="104" t="n"/>
      <c r="AE26" s="104" t="n"/>
      <c r="AF26" s="105" t="n"/>
    </row>
  </sheetData>
  <mergeCells count="36">
    <mergeCell ref="L2:M2"/>
    <mergeCell ref="L17:M17"/>
    <mergeCell ref="Y4:Z4"/>
    <mergeCell ref="L7:M7"/>
    <mergeCell ref="L16:M16"/>
    <mergeCell ref="Y3:Z3"/>
    <mergeCell ref="T5:X5"/>
    <mergeCell ref="L19:M19"/>
    <mergeCell ref="T4:X4"/>
    <mergeCell ref="L13:M13"/>
    <mergeCell ref="L3:M3"/>
    <mergeCell ref="L12:M12"/>
    <mergeCell ref="Y2:Z2"/>
    <mergeCell ref="L24:M24"/>
    <mergeCell ref="L15:M15"/>
    <mergeCell ref="L18:M18"/>
    <mergeCell ref="Y5:Z5"/>
    <mergeCell ref="Y1:Z1"/>
    <mergeCell ref="L5:M5"/>
    <mergeCell ref="L23:M23"/>
    <mergeCell ref="L14:M14"/>
    <mergeCell ref="L8:M8"/>
    <mergeCell ref="L26:M26"/>
    <mergeCell ref="L4:M4"/>
    <mergeCell ref="L20:M20"/>
    <mergeCell ref="T2:X2"/>
    <mergeCell ref="L10:M10"/>
    <mergeCell ref="L1:M1"/>
    <mergeCell ref="T1:X1"/>
    <mergeCell ref="L25:M25"/>
    <mergeCell ref="L22:M22"/>
    <mergeCell ref="L9:M9"/>
    <mergeCell ref="L21:M21"/>
    <mergeCell ref="L6:M6"/>
    <mergeCell ref="L11:M11"/>
    <mergeCell ref="T3:X3"/>
  </mergeCells>
  <dataValidations count="1">
    <dataValidation sqref="AB2:AF1048576" showDropDown="0" showInputMessage="1" showErrorMessage="1" allowBlank="1" type="list">
      <formula1>$AH:$AH</formula1>
    </dataValidation>
  </dataValidation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10" min="1" max="1"/>
    <col width="12" customWidth="1" style="110" min="2" max="2"/>
    <col width="12" customWidth="1" style="110" min="3" max="3"/>
    <col width="12" customWidth="1" style="110" min="4" max="4"/>
    <col width="12" customWidth="1" style="110" min="5" max="5"/>
    <col width="13" customWidth="1" style="110" min="6" max="6"/>
    <col width="12" customWidth="1" style="110" min="7" max="7"/>
    <col width="17" customWidth="1" style="110" min="8" max="8"/>
    <col width="12" customWidth="1" style="110" min="9" max="9"/>
    <col width="12" customWidth="1" style="110" min="10" max="10"/>
    <col width="12" customWidth="1" style="110" min="11" max="11"/>
    <col width="12" customWidth="1" style="110" min="12" max="12"/>
    <col width="12" customWidth="1" style="110" min="13" max="13"/>
    <col width="12" customWidth="1" style="110" min="14" max="14"/>
    <col width="12" customWidth="1" style="110" min="15" max="15"/>
    <col width="12" customWidth="1" style="110" min="16" max="16"/>
    <col width="12" customWidth="1" style="110" min="17" max="17"/>
    <col width="12" customWidth="1" style="110" min="18" max="18"/>
    <col width="15" customWidth="1" style="110" min="19" max="19"/>
    <col width="14" customWidth="1" style="110" min="20" max="20"/>
    <col width="16" customWidth="1" style="110" min="21" max="21"/>
    <col width="12" customWidth="1" style="110" min="22" max="22"/>
    <col width="12" customWidth="1" style="110" min="23" max="23"/>
    <col width="12" customWidth="1" style="110" min="24" max="24"/>
    <col width="15" customWidth="1" style="110" min="25" max="25"/>
    <col width="14" customWidth="1" style="110" min="26" max="26"/>
    <col width="16" customWidth="1" style="110" min="27" max="27"/>
    <col width="12" customWidth="1" style="110" min="28" max="28"/>
    <col width="12" customWidth="1" style="110" min="29" max="29"/>
    <col width="12" customWidth="1" style="110" min="30" max="30"/>
    <col width="15" customWidth="1" style="110" min="31" max="31"/>
    <col width="14" customWidth="1" style="110" min="32" max="32"/>
    <col width="16" customWidth="1" style="110" min="33" max="33"/>
    <col width="12" customWidth="1" style="110" min="34" max="34"/>
    <col width="12" customWidth="1" style="110" min="35" max="35"/>
    <col width="12" customWidth="1" style="110" min="36" max="36"/>
    <col width="15" customWidth="1" style="110" min="37" max="37"/>
    <col width="14" customWidth="1" style="110" min="38" max="38"/>
    <col width="16" customWidth="1" style="110" min="39" max="39"/>
    <col width="12" customWidth="1" style="110" min="40" max="40"/>
    <col width="12" customWidth="1" style="110" min="41" max="41"/>
    <col width="12" customWidth="1" style="110" min="42" max="42"/>
    <col width="15" customWidth="1" style="110" min="43" max="43"/>
    <col width="14" customWidth="1" style="110" min="44" max="44"/>
    <col width="16" customWidth="1" style="110" min="45" max="45"/>
    <col width="12" customWidth="1" style="110" min="46" max="46"/>
    <col width="12" customWidth="1" style="110" min="47" max="47"/>
    <col width="12" customWidth="1" style="110" min="48" max="48"/>
    <col width="15" customWidth="1" style="110" min="49" max="49"/>
    <col width="14" customWidth="1" style="110" min="50" max="50"/>
    <col width="16" customWidth="1" style="110" min="51" max="51"/>
    <col width="12" customWidth="1" style="110" min="52" max="52"/>
    <col width="12" customWidth="1" style="110" min="53" max="53"/>
    <col width="12" customWidth="1" style="110" min="54" max="54"/>
    <col width="15" customWidth="1" style="110" min="55" max="55"/>
    <col width="14" customWidth="1" style="110" min="56" max="56"/>
    <col width="16" customWidth="1" style="110" min="57" max="57"/>
    <col width="12" customWidth="1" style="110" min="58" max="58"/>
    <col width="12" customWidth="1" style="110" min="59" max="59"/>
    <col width="12" customWidth="1" style="110" min="60" max="60"/>
    <col width="15" customWidth="1" style="110" min="61" max="61"/>
    <col width="14" customWidth="1" style="110" min="62" max="62"/>
    <col width="16" customWidth="1" style="110" min="63" max="63"/>
    <col width="12" customWidth="1" style="110" min="64" max="64"/>
    <col width="12" customWidth="1" style="110" min="65" max="65"/>
    <col width="12" customWidth="1" style="110" min="66" max="66"/>
    <col width="15" customWidth="1" style="110" min="67" max="67"/>
    <col width="14" customWidth="1" style="110" min="68" max="68"/>
    <col width="16" customWidth="1" style="110" min="69" max="69"/>
    <col width="12" customWidth="1" style="110" min="70" max="70"/>
    <col width="12" customWidth="1" style="110" min="71" max="71"/>
    <col width="12" customWidth="1" style="110" min="72" max="72"/>
    <col width="16" customWidth="1" style="110" min="73" max="73"/>
    <col width="15" customWidth="1" style="110" min="74" max="74"/>
    <col width="17" customWidth="1" style="110" min="75" max="75"/>
    <col width="12" customWidth="1" style="110" min="76" max="76"/>
    <col width="12" customWidth="1" style="110" min="77" max="77"/>
    <col width="12" customWidth="1" style="110" min="78" max="78"/>
    <col width="16" customWidth="1" style="110" min="79" max="79"/>
    <col width="15" customWidth="1" style="110" min="80" max="80"/>
    <col width="17" customWidth="1" style="110" min="81" max="81"/>
    <col width="12" customWidth="1" style="110" min="82" max="82"/>
    <col width="12" customWidth="1" style="110" min="83" max="83"/>
    <col width="12" customWidth="1" style="110" min="84" max="84"/>
    <col width="16" customWidth="1" style="110" min="85" max="85"/>
    <col width="15" customWidth="1" style="110" min="86" max="86"/>
    <col width="17" customWidth="1" style="110" min="87" max="87"/>
    <col width="12" customWidth="1" style="110" min="88" max="88"/>
    <col width="12" customWidth="1" style="110" min="89" max="89"/>
    <col width="12" customWidth="1" style="110" min="90" max="90"/>
    <col width="16" customWidth="1" style="110" min="91" max="91"/>
    <col width="15" customWidth="1" style="110" min="92" max="92"/>
    <col width="17" customWidth="1" style="110" min="93" max="93"/>
    <col width="12" customWidth="1" style="110" min="94" max="94"/>
    <col width="12" customWidth="1" style="110" min="95" max="95"/>
    <col width="12" customWidth="1" style="110" min="96" max="96"/>
    <col width="16" customWidth="1" style="110" min="97" max="97"/>
    <col width="15" customWidth="1" style="110" min="98" max="98"/>
    <col width="17" customWidth="1" style="110" min="99" max="99"/>
    <col width="12" customWidth="1" style="110" min="100" max="100"/>
    <col width="12" customWidth="1" style="110" min="101" max="101"/>
    <col width="12" customWidth="1" style="110" min="102" max="102"/>
    <col width="16" customWidth="1" style="110" min="103" max="103"/>
    <col width="15" customWidth="1" style="110" min="104" max="104"/>
    <col width="17" customWidth="1" style="110" min="105" max="105"/>
    <col width="12" customWidth="1" style="110" min="106" max="106"/>
    <col width="12" customWidth="1" style="110" min="107" max="107"/>
    <col width="12" customWidth="1" style="110" min="108" max="108"/>
    <col width="16" customWidth="1" style="110" min="109" max="109"/>
    <col width="15" customWidth="1" style="110" min="110" max="110"/>
    <col width="17" customWidth="1" style="110" min="111" max="111"/>
    <col width="12" customWidth="1" style="110" min="112" max="112"/>
    <col width="12" customWidth="1" style="110" min="113" max="113"/>
    <col width="12" customWidth="1" style="110" min="114" max="114"/>
    <col width="16" customWidth="1" style="110" min="115" max="115"/>
    <col width="15" customWidth="1" style="110" min="116" max="116"/>
    <col width="17" customWidth="1" style="110" min="117" max="117"/>
    <col width="12" customWidth="1" style="110" min="118" max="118"/>
    <col width="12" customWidth="1" style="110" min="119" max="119"/>
    <col width="12" customWidth="1" style="110" min="120" max="120"/>
    <col width="16" customWidth="1" style="110" min="121" max="121"/>
    <col width="15" customWidth="1" style="110" min="122" max="122"/>
    <col width="17" customWidth="1" style="110" min="123" max="123"/>
    <col width="12" customWidth="1" style="110" min="124" max="124"/>
    <col width="12" customWidth="1" style="110" min="125" max="125"/>
    <col width="12" customWidth="1" style="110" min="126" max="126"/>
    <col width="16" customWidth="1" style="110" min="127" max="127"/>
    <col width="15" customWidth="1" style="110" min="128" max="128"/>
    <col width="17" customWidth="1" style="110" min="129" max="129"/>
    <col width="12" customWidth="1" style="110" min="130" max="130"/>
    <col width="12" customWidth="1" style="110" min="131" max="131"/>
    <col width="12" customWidth="1" style="110" min="132" max="132"/>
    <col width="16" customWidth="1" style="110" min="133" max="133"/>
    <col width="15" customWidth="1" style="110" min="134" max="134"/>
    <col width="17" customWidth="1" style="110" min="135" max="135"/>
    <col width="12" customWidth="1" style="110" min="136" max="136"/>
    <col width="12" customWidth="1" style="110" min="137" max="137"/>
    <col width="20" customWidth="1" style="110" min="138" max="138"/>
    <col width="20" customWidth="1" style="110" min="139" max="139"/>
    <col width="20" customWidth="1" style="110" min="140" max="140"/>
    <col width="20" customWidth="1" style="110" min="141" max="141"/>
    <col width="20" customWidth="1" style="110" min="142" max="142"/>
    <col width="20" customWidth="1" style="110" min="143" max="143"/>
    <col width="20" customWidth="1" style="110" min="144" max="144"/>
    <col width="20" customWidth="1" style="110" min="145" max="145"/>
    <col width="20" customWidth="1" style="110" min="146" max="146"/>
    <col width="20" customWidth="1" style="110" min="147" max="147"/>
    <col width="20" customWidth="1" style="110" min="148" max="148"/>
    <col width="20" customWidth="1" style="110" min="149" max="149"/>
    <col width="20" customWidth="1" style="110" min="150" max="150"/>
    <col width="20" customWidth="1" style="110" min="151" max="151"/>
    <col width="20" customWidth="1" style="110" min="152" max="152"/>
    <col width="20" customWidth="1" style="110" min="153" max="153"/>
    <col width="20" customWidth="1" style="110" min="154" max="154"/>
    <col width="20" customWidth="1" style="110" min="155" max="155"/>
    <col width="20" customWidth="1" style="110" min="156" max="156"/>
    <col width="20" customWidth="1" style="110" min="157" max="157"/>
    <col width="20" customWidth="1" style="110" min="158" max="158"/>
    <col width="20" customWidth="1" style="110" min="159" max="159"/>
    <col width="20" customWidth="1" style="110" min="160" max="160"/>
    <col width="20" customWidth="1" style="110" min="161" max="161"/>
    <col width="20" customWidth="1" style="110" min="162" max="162"/>
    <col width="20" customWidth="1" style="110" min="163" max="163"/>
    <col width="20" customWidth="1" style="110" min="164" max="164"/>
    <col width="20" customWidth="1" style="110" min="165" max="165"/>
    <col width="20" customWidth="1" style="110" min="166" max="166"/>
    <col width="20" customWidth="1" style="110" min="167" max="167"/>
  </cols>
  <sheetData>
    <row r="1">
      <c r="A1" t="inlineStr">
        <is>
          <t>Date</t>
        </is>
      </c>
      <c r="B1" t="inlineStr">
        <is>
          <t>Vehicle</t>
        </is>
      </c>
      <c r="C1" t="inlineStr">
        <is>
          <t>Model</t>
        </is>
      </c>
      <c r="D1" t="inlineStr">
        <is>
          <t>Chassis No</t>
        </is>
      </c>
      <c r="E1" t="inlineStr">
        <is>
          <t>Engine No</t>
        </is>
      </c>
      <c r="F1" t="inlineStr">
        <is>
          <t>Defect Type</t>
        </is>
      </c>
      <c r="G1" t="inlineStr">
        <is>
          <t>Department</t>
        </is>
      </c>
      <c r="H1" t="inlineStr">
        <is>
          <t>Defect Category</t>
        </is>
      </c>
      <c r="I1" t="inlineStr">
        <is>
          <t>QTY</t>
        </is>
      </c>
      <c r="J1" t="inlineStr">
        <is>
          <t>CLASS A</t>
        </is>
      </c>
      <c r="K1" t="inlineStr">
        <is>
          <t>CLASS B</t>
        </is>
      </c>
      <c r="L1" t="inlineStr">
        <is>
          <t>CLASS C</t>
        </is>
      </c>
      <c r="M1" t="inlineStr">
        <is>
          <t>CLASS D</t>
        </is>
      </c>
      <c r="N1" t="inlineStr">
        <is>
          <t>ZONE A</t>
        </is>
      </c>
      <c r="O1" t="inlineStr">
        <is>
          <t>ZONE B</t>
        </is>
      </c>
      <c r="P1" t="inlineStr">
        <is>
          <t>ZONE C</t>
        </is>
      </c>
      <c r="Q1" t="inlineStr">
        <is>
          <t>ZONE D</t>
        </is>
      </c>
      <c r="R1" t="inlineStr">
        <is>
          <t>Defect 1</t>
        </is>
      </c>
      <c r="S1" t="inlineStr">
        <is>
          <t>Defect Type 1</t>
        </is>
      </c>
      <c r="T1" t="inlineStr">
        <is>
          <t>Department 1</t>
        </is>
      </c>
      <c r="U1" t="inlineStr">
        <is>
          <t>Defect Class 1</t>
        </is>
      </c>
      <c r="V1" t="inlineStr">
        <is>
          <t>Zone 1</t>
        </is>
      </c>
      <c r="W1" t="inlineStr">
        <is>
          <t>QTY 1</t>
        </is>
      </c>
      <c r="X1" t="inlineStr">
        <is>
          <t>Defect 2</t>
        </is>
      </c>
      <c r="Y1" t="inlineStr">
        <is>
          <t>Defect Type 2</t>
        </is>
      </c>
      <c r="Z1" t="inlineStr">
        <is>
          <t>Department 2</t>
        </is>
      </c>
      <c r="AA1" t="inlineStr">
        <is>
          <t>Defect Class 2</t>
        </is>
      </c>
      <c r="AB1" t="inlineStr">
        <is>
          <t>Zone 2</t>
        </is>
      </c>
      <c r="AC1" t="inlineStr">
        <is>
          <t>QTY 2</t>
        </is>
      </c>
      <c r="AD1" t="inlineStr">
        <is>
          <t>Defect 3</t>
        </is>
      </c>
      <c r="AE1" t="inlineStr">
        <is>
          <t>Defect Type 3</t>
        </is>
      </c>
      <c r="AF1" t="inlineStr">
        <is>
          <t>Department 3</t>
        </is>
      </c>
      <c r="AG1" t="inlineStr">
        <is>
          <t>Defect Class 3</t>
        </is>
      </c>
      <c r="AH1" t="inlineStr">
        <is>
          <t>Zone 3</t>
        </is>
      </c>
      <c r="AI1" t="inlineStr">
        <is>
          <t>QTY 3</t>
        </is>
      </c>
      <c r="AJ1" t="inlineStr">
        <is>
          <t>Defect 4</t>
        </is>
      </c>
      <c r="AK1" t="inlineStr">
        <is>
          <t>Defect Type 4</t>
        </is>
      </c>
      <c r="AL1" t="inlineStr">
        <is>
          <t>Department 4</t>
        </is>
      </c>
      <c r="AM1" t="inlineStr">
        <is>
          <t>Defect Class 4</t>
        </is>
      </c>
      <c r="AN1" t="inlineStr">
        <is>
          <t>Zone 4</t>
        </is>
      </c>
      <c r="AO1" t="inlineStr">
        <is>
          <t>QTY 4</t>
        </is>
      </c>
      <c r="AP1" t="inlineStr">
        <is>
          <t>Defect 5</t>
        </is>
      </c>
      <c r="AQ1" t="inlineStr">
        <is>
          <t>Defect Type 5</t>
        </is>
      </c>
      <c r="AR1" t="inlineStr">
        <is>
          <t>Department 5</t>
        </is>
      </c>
      <c r="AS1" t="inlineStr">
        <is>
          <t>Defect Class 5</t>
        </is>
      </c>
      <c r="AT1" t="inlineStr">
        <is>
          <t>Zone 5</t>
        </is>
      </c>
      <c r="AU1" t="inlineStr">
        <is>
          <t>QTY 5</t>
        </is>
      </c>
      <c r="AV1" t="inlineStr">
        <is>
          <t>Defect 6</t>
        </is>
      </c>
      <c r="AW1" t="inlineStr">
        <is>
          <t>Defect Type 6</t>
        </is>
      </c>
      <c r="AX1" t="inlineStr">
        <is>
          <t>Department 6</t>
        </is>
      </c>
      <c r="AY1" t="inlineStr">
        <is>
          <t>Defect Class 6</t>
        </is>
      </c>
      <c r="AZ1" t="inlineStr">
        <is>
          <t>Zone 6</t>
        </is>
      </c>
      <c r="BA1" t="inlineStr">
        <is>
          <t>QTY 6</t>
        </is>
      </c>
      <c r="BB1" t="inlineStr">
        <is>
          <t>Defect 7</t>
        </is>
      </c>
      <c r="BC1" t="inlineStr">
        <is>
          <t>Defect Type 7</t>
        </is>
      </c>
      <c r="BD1" t="inlineStr">
        <is>
          <t>Department 7</t>
        </is>
      </c>
      <c r="BE1" t="inlineStr">
        <is>
          <t>Defect Class 7</t>
        </is>
      </c>
      <c r="BF1" t="inlineStr">
        <is>
          <t>Zone 7</t>
        </is>
      </c>
      <c r="BG1" t="inlineStr">
        <is>
          <t>QTY 7</t>
        </is>
      </c>
      <c r="BH1" t="inlineStr">
        <is>
          <t>Defect 8</t>
        </is>
      </c>
      <c r="BI1" t="inlineStr">
        <is>
          <t>Defect Type 8</t>
        </is>
      </c>
      <c r="BJ1" t="inlineStr">
        <is>
          <t>Department 8</t>
        </is>
      </c>
      <c r="BK1" t="inlineStr">
        <is>
          <t>Defect Class 8</t>
        </is>
      </c>
      <c r="BL1" t="inlineStr">
        <is>
          <t>Zone 8</t>
        </is>
      </c>
      <c r="BM1" t="inlineStr">
        <is>
          <t>QTY 8</t>
        </is>
      </c>
      <c r="BN1" t="inlineStr">
        <is>
          <t>Defect 9</t>
        </is>
      </c>
      <c r="BO1" t="inlineStr">
        <is>
          <t>Defect Type 9</t>
        </is>
      </c>
      <c r="BP1" t="inlineStr">
        <is>
          <t>Department 9</t>
        </is>
      </c>
      <c r="BQ1" t="inlineStr">
        <is>
          <t>Defect Class 9</t>
        </is>
      </c>
      <c r="BR1" t="inlineStr">
        <is>
          <t>Zone 9</t>
        </is>
      </c>
      <c r="BS1" t="inlineStr">
        <is>
          <t>QTY 9</t>
        </is>
      </c>
      <c r="BT1" t="inlineStr">
        <is>
          <t>Defect 10</t>
        </is>
      </c>
      <c r="BU1" t="inlineStr">
        <is>
          <t>Defect Type 10</t>
        </is>
      </c>
      <c r="BV1" t="inlineStr">
        <is>
          <t>Department 10</t>
        </is>
      </c>
      <c r="BW1" t="inlineStr">
        <is>
          <t>Defect Class 10</t>
        </is>
      </c>
      <c r="BX1" t="inlineStr">
        <is>
          <t>Zone 10</t>
        </is>
      </c>
      <c r="BY1" t="inlineStr">
        <is>
          <t>QTY 10</t>
        </is>
      </c>
      <c r="BZ1" t="inlineStr">
        <is>
          <t>Defect 11</t>
        </is>
      </c>
      <c r="CA1" t="inlineStr">
        <is>
          <t>Defect Type 11</t>
        </is>
      </c>
      <c r="CB1" t="inlineStr">
        <is>
          <t>Department 11</t>
        </is>
      </c>
      <c r="CC1" t="inlineStr">
        <is>
          <t>Defect Class 11</t>
        </is>
      </c>
      <c r="CD1" t="inlineStr">
        <is>
          <t>Zone 11</t>
        </is>
      </c>
      <c r="CE1" t="inlineStr">
        <is>
          <t>QTY 11</t>
        </is>
      </c>
      <c r="CF1" t="inlineStr">
        <is>
          <t>Defect 12</t>
        </is>
      </c>
      <c r="CG1" t="inlineStr">
        <is>
          <t>Defect Type 12</t>
        </is>
      </c>
      <c r="CH1" t="inlineStr">
        <is>
          <t>Department 12</t>
        </is>
      </c>
      <c r="CI1" t="inlineStr">
        <is>
          <t>Defect Class 12</t>
        </is>
      </c>
      <c r="CJ1" t="inlineStr">
        <is>
          <t>Zone 12</t>
        </is>
      </c>
      <c r="CK1" t="inlineStr">
        <is>
          <t>QTY 12</t>
        </is>
      </c>
      <c r="CL1" t="inlineStr">
        <is>
          <t>Defect 13</t>
        </is>
      </c>
      <c r="CM1" t="inlineStr">
        <is>
          <t>Defect Type 13</t>
        </is>
      </c>
      <c r="CN1" t="inlineStr">
        <is>
          <t>Department 13</t>
        </is>
      </c>
      <c r="CO1" t="inlineStr">
        <is>
          <t>Defect Class 13</t>
        </is>
      </c>
      <c r="CP1" t="inlineStr">
        <is>
          <t>Zone 13</t>
        </is>
      </c>
      <c r="CQ1" t="inlineStr">
        <is>
          <t>QTY 13</t>
        </is>
      </c>
      <c r="CR1" t="inlineStr">
        <is>
          <t>Defect 14</t>
        </is>
      </c>
      <c r="CS1" t="inlineStr">
        <is>
          <t>Defect Type 14</t>
        </is>
      </c>
      <c r="CT1" t="inlineStr">
        <is>
          <t>Department 14</t>
        </is>
      </c>
      <c r="CU1" t="inlineStr">
        <is>
          <t>Defect Class 14</t>
        </is>
      </c>
      <c r="CV1" t="inlineStr">
        <is>
          <t>Zone 14</t>
        </is>
      </c>
      <c r="CW1" t="inlineStr">
        <is>
          <t>QTY 14</t>
        </is>
      </c>
      <c r="CX1" t="inlineStr">
        <is>
          <t>Defect 15</t>
        </is>
      </c>
      <c r="CY1" t="inlineStr">
        <is>
          <t>Defect Type 15</t>
        </is>
      </c>
      <c r="CZ1" t="inlineStr">
        <is>
          <t>Department 15</t>
        </is>
      </c>
      <c r="DA1" t="inlineStr">
        <is>
          <t>Defect Class 15</t>
        </is>
      </c>
      <c r="DB1" t="inlineStr">
        <is>
          <t>Zone 15</t>
        </is>
      </c>
      <c r="DC1" t="inlineStr">
        <is>
          <t>QTY 15</t>
        </is>
      </c>
      <c r="DD1" t="inlineStr">
        <is>
          <t>Defect 16</t>
        </is>
      </c>
      <c r="DE1" t="inlineStr">
        <is>
          <t>Defect Type 16</t>
        </is>
      </c>
      <c r="DF1" t="inlineStr">
        <is>
          <t>Department 16</t>
        </is>
      </c>
      <c r="DG1" t="inlineStr">
        <is>
          <t>Defect Class 16</t>
        </is>
      </c>
      <c r="DH1" t="inlineStr">
        <is>
          <t>Zone 16</t>
        </is>
      </c>
      <c r="DI1" t="inlineStr">
        <is>
          <t>QTY 16</t>
        </is>
      </c>
      <c r="DJ1" t="inlineStr">
        <is>
          <t>Defect 17</t>
        </is>
      </c>
      <c r="DK1" t="inlineStr">
        <is>
          <t>Defect Type 17</t>
        </is>
      </c>
      <c r="DL1" t="inlineStr">
        <is>
          <t>Department 17</t>
        </is>
      </c>
      <c r="DM1" t="inlineStr">
        <is>
          <t>Defect Class 17</t>
        </is>
      </c>
      <c r="DN1" t="inlineStr">
        <is>
          <t>Zone 17</t>
        </is>
      </c>
      <c r="DO1" t="inlineStr">
        <is>
          <t>QTY 17</t>
        </is>
      </c>
      <c r="DP1" t="inlineStr">
        <is>
          <t>Defect 18</t>
        </is>
      </c>
      <c r="DQ1" t="inlineStr">
        <is>
          <t>Defect Type 18</t>
        </is>
      </c>
      <c r="DR1" t="inlineStr">
        <is>
          <t>Department 18</t>
        </is>
      </c>
      <c r="DS1" t="inlineStr">
        <is>
          <t>Defect Class 18</t>
        </is>
      </c>
      <c r="DT1" t="inlineStr">
        <is>
          <t>Zone 18</t>
        </is>
      </c>
      <c r="DU1" t="inlineStr">
        <is>
          <t>QTY 18</t>
        </is>
      </c>
      <c r="DV1" t="inlineStr">
        <is>
          <t>Defect 19</t>
        </is>
      </c>
      <c r="DW1" t="inlineStr">
        <is>
          <t>Defect Type 19</t>
        </is>
      </c>
      <c r="DX1" t="inlineStr">
        <is>
          <t>Department 19</t>
        </is>
      </c>
      <c r="DY1" t="inlineStr">
        <is>
          <t>Defect Class 19</t>
        </is>
      </c>
      <c r="DZ1" t="inlineStr">
        <is>
          <t>Zone 19</t>
        </is>
      </c>
      <c r="EA1" t="inlineStr">
        <is>
          <t>QTY 19</t>
        </is>
      </c>
      <c r="EB1" t="inlineStr">
        <is>
          <t>Defect 20</t>
        </is>
      </c>
      <c r="EC1" t="inlineStr">
        <is>
          <t>Defect Type 20</t>
        </is>
      </c>
      <c r="ED1" t="inlineStr">
        <is>
          <t>Department 20</t>
        </is>
      </c>
      <c r="EE1" t="inlineStr">
        <is>
          <t>Defect Class 20</t>
        </is>
      </c>
      <c r="EF1" t="inlineStr">
        <is>
          <t>Zone 20</t>
        </is>
      </c>
      <c r="EG1" t="inlineStr">
        <is>
          <t>QTY 20</t>
        </is>
      </c>
      <c r="EH1" t="inlineStr">
        <is>
          <t>Defect Category 1</t>
        </is>
      </c>
      <c r="EI1" t="inlineStr">
        <is>
          <t>Defect Category 2</t>
        </is>
      </c>
      <c r="EJ1" t="inlineStr">
        <is>
          <t>Defect Category 3</t>
        </is>
      </c>
      <c r="EK1" t="inlineStr">
        <is>
          <t>Defect Category 4</t>
        </is>
      </c>
      <c r="EL1" t="inlineStr">
        <is>
          <t>Defect Category 5</t>
        </is>
      </c>
      <c r="EM1" t="inlineStr">
        <is>
          <t>Defect Category 6</t>
        </is>
      </c>
      <c r="EN1" t="inlineStr">
        <is>
          <t>Defect Category 7</t>
        </is>
      </c>
      <c r="EO1" t="inlineStr">
        <is>
          <t>Defect Category 8</t>
        </is>
      </c>
      <c r="EP1" t="inlineStr">
        <is>
          <t>Defect Category 9</t>
        </is>
      </c>
      <c r="EQ1" t="inlineStr">
        <is>
          <t>Defect Category 10</t>
        </is>
      </c>
      <c r="ER1" t="inlineStr">
        <is>
          <t>Defect Category 11</t>
        </is>
      </c>
      <c r="ES1" t="inlineStr">
        <is>
          <t>Defect Category 12</t>
        </is>
      </c>
      <c r="ET1" t="inlineStr">
        <is>
          <t>Defect Category 13</t>
        </is>
      </c>
      <c r="EU1" t="inlineStr">
        <is>
          <t>Defect Category 14</t>
        </is>
      </c>
      <c r="EV1" t="inlineStr">
        <is>
          <t>Defect Category 15</t>
        </is>
      </c>
      <c r="EW1" t="inlineStr">
        <is>
          <t>Defect Category 16</t>
        </is>
      </c>
      <c r="EX1" t="inlineStr">
        <is>
          <t>Defect Category 17</t>
        </is>
      </c>
      <c r="EY1" t="inlineStr">
        <is>
          <t>Defect Category 18</t>
        </is>
      </c>
      <c r="EZ1" t="inlineStr">
        <is>
          <t>Defect Category 19</t>
        </is>
      </c>
      <c r="FA1" t="inlineStr">
        <is>
          <t>Defect Category 20</t>
        </is>
      </c>
      <c r="FB1" t="inlineStr">
        <is>
          <t>Defect Category 21</t>
        </is>
      </c>
      <c r="FC1" t="inlineStr">
        <is>
          <t>Defect Category 22</t>
        </is>
      </c>
      <c r="FD1" t="inlineStr">
        <is>
          <t>Defect Category 23</t>
        </is>
      </c>
      <c r="FE1" t="inlineStr">
        <is>
          <t>Defect Category 24</t>
        </is>
      </c>
      <c r="FF1" t="inlineStr">
        <is>
          <t>Defect Category 25</t>
        </is>
      </c>
      <c r="FG1" t="inlineStr">
        <is>
          <t>Defect Category 26</t>
        </is>
      </c>
      <c r="FH1" t="inlineStr">
        <is>
          <t>Defect Category 27</t>
        </is>
      </c>
      <c r="FI1" t="inlineStr">
        <is>
          <t>Defect Category 28</t>
        </is>
      </c>
      <c r="FJ1" t="inlineStr">
        <is>
          <t>Defect Category 29</t>
        </is>
      </c>
      <c r="FK1" t="inlineStr">
        <is>
          <t>Defect Category 30</t>
        </is>
      </c>
    </row>
  </sheetData>
  <autoFilter ref="A1:E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Sakamaki, Munesada (575)</dc:creator>
  <dcterms:created xmlns:dcterms="http://purl.org/dc/terms/" xmlns:xsi="http://www.w3.org/2001/XMLSchema-instance" xsi:type="dcterms:W3CDTF">2018-05-10T07:44:46Z</dcterms:created>
  <dcterms:modified xmlns:dcterms="http://purl.org/dc/terms/" xmlns:xsi="http://www.w3.org/2001/XMLSchema-instance" xsi:type="dcterms:W3CDTF">2026-10-23T06:22:39Z</dcterms:modified>
  <cp:lastModifiedBy>Taha Shahid</cp:lastModifiedBy>
</cp:coreProperties>
</file>